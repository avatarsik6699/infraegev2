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395612237a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збор" sheetId="1" r:id="R854734779d7f4a72"/>
    <x:sheet xmlns:r="http://schemas.openxmlformats.org/officeDocument/2006/relationships" name="ВПР" sheetId="2" r:id="Rfe53562125cf4dfc"/>
    <x:sheet xmlns:r="http://schemas.openxmlformats.org/officeDocument/2006/relationships" name="Параллельность" sheetId="3" r:id="R0a31d3e9afa54ac2"/>
    <x:sheet xmlns:r="http://schemas.openxmlformats.org/officeDocument/2006/relationships" name="Неизвестное время" sheetId="4" r:id="R7f28c7fc242f48da"/>
    <x:sheet xmlns:r="http://schemas.openxmlformats.org/officeDocument/2006/relationships" name="Сдвиги" sheetId="5" r:id="Rbcb0ee4befa54523"/>
    <x:sheet xmlns:r="http://schemas.openxmlformats.org/officeDocument/2006/relationships" name="Практика" sheetId="6" r:id="Rb6edff511eb94f30"/>
    <x:sheet xmlns:r="http://schemas.openxmlformats.org/officeDocument/2006/relationships" name="Решения" sheetId="7" r:id="Rd90967ef541c49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;-0;;"/>
  </x:numFmts>
  <x:fonts count="6">
    <x:font>
      <x:sz val="11"/>
      <x:name val="Carlito"/>
    </x:font>
    <x:font>
      <x:sz val="11"/>
      <x:color rgb="FF24354B"/>
      <x:name val="Arial"/>
    </x:font>
    <x:font>
      <x:b/>
      <x:sz val="11"/>
      <x:color rgb="FFFFFFFF"/>
      <x:name val="Arial"/>
    </x:font>
    <x:font>
      <x:b/>
      <x:sz val="11"/>
      <x:color rgb="FF24354B"/>
      <x:name val="Arial"/>
    </x:font>
    <x:font>
      <x:b/>
      <x:sz val="15"/>
      <x:color rgb="FF24354B"/>
      <x:name val="Arial"/>
    </x:font>
    <x:font>
      <x:sz val="11"/>
      <x:color rgb="FF64748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54B"/>
      </x:patternFill>
    </x:fill>
    <x:fill>
      <x:patternFill patternType="solid">
        <x:fgColor rgb="FFFFF1CD"/>
      </x:patternFill>
    </x:fill>
    <x:fill>
      <x:patternFill patternType="solid">
        <x:fgColor rgb="FFEDF3FB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horizontal="right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200" fontId="1" fillId="5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3">
    <x:dxf>
      <x:font>
        <x:color rgb="FFFFFFFF"/>
      </x:font>
      <x:fill>
        <x:patternFill patternType="solid">
          <x:bgColor rgb="FF537CAF"/>
        </x:patternFill>
      </x:fill>
    </x:dxf>
    <x:dxf>
      <x:font>
        <x:b/>
      </x:font>
      <x:fill>
        <x:patternFill patternType="solid">
          <x:bgColor rgb="FFFFF1CD"/>
        </x:patternFill>
      </x:fill>
    </x:dxf>
    <x:dxf>
      <x:font>
        <x:color rgb="FFFFFFFF"/>
      </x:font>
      <x:fill>
        <x:patternFill patternType="solid">
          <x:bgColor rgb="FF537CA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f4a24bcf64ff7" /><Relationship Type="http://schemas.openxmlformats.org/officeDocument/2006/relationships/theme" Target="/xl/theme/theme1.xml" Id="R1b609450b6de4a95" /><Relationship Type="http://schemas.openxmlformats.org/officeDocument/2006/relationships/sharedStrings" Target="/xl/sharedStrings.xml" Id="Rc0f8a2a442cf4a4f" /><Relationship Type="http://schemas.openxmlformats.org/officeDocument/2006/relationships/worksheet" Target="/xl/worksheets/sheet1.xml" Id="R854734779d7f4a72" /><Relationship Type="http://schemas.openxmlformats.org/officeDocument/2006/relationships/worksheet" Target="/xl/worksheets/sheet2.xml" Id="Rfe53562125cf4dfc" /><Relationship Type="http://schemas.openxmlformats.org/officeDocument/2006/relationships/worksheet" Target="/xl/worksheets/sheet3.xml" Id="R0a31d3e9afa54ac2" /><Relationship Type="http://schemas.openxmlformats.org/officeDocument/2006/relationships/worksheet" Target="/xl/worksheets/sheet4.xml" Id="R7f28c7fc242f48da" /><Relationship Type="http://schemas.openxmlformats.org/officeDocument/2006/relationships/worksheet" Target="/xl/worksheets/sheet5.xml" Id="Rbcb0ee4befa54523" /><Relationship Type="http://schemas.openxmlformats.org/officeDocument/2006/relationships/worksheet" Target="/xl/worksheets/sheet6.xml" Id="Rb6edff511eb94f30" /><Relationship Type="http://schemas.openxmlformats.org/officeDocument/2006/relationships/worksheet" Target="/xl/worksheets/sheet7.xml" Id="Rd90967ef541c49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54B"/>
  </x:sheetPr>
  <x:sheetViews>
    <x:sheetView showGridLines="0" workbookViewId="0"/>
  </x:sheetViews>
  <x:sheetFormatPr defaultRowHeight="15"/>
  <x:cols>
    <x:col min="1" max="1" width="9" hidden="0" customWidth="1"/>
    <x:col min="2" max="2" width="17" hidden="0" customWidth="1"/>
    <x:col min="3" max="3" width="22" hidden="0" customWidth="1"/>
    <x:col min="4" max="4" width="17" hidden="0" customWidth="1"/>
    <x:col min="5" max="5" width="18" hidden="0" customWidth="1"/>
    <x:col min="6" max="6" width="3" hidden="0" customWidth="1"/>
    <x:col min="7" max="7" width="59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8" customHeight="1">
      <x:c r="A1" s="9" t="str">
        <x:v>ID</x:v>
      </x:c>
      <x:c r="B1" s="9" t="str">
        <x:v>Длительность, мс</x:v>
      </x:c>
      <x:c r="C1" s="9" t="str">
        <x:v>Зависит от ID</x:v>
      </x:c>
      <x:c r="D1" s="9" t="str">
        <x:v>Начало, мс</x:v>
      </x:c>
      <x:c r="E1" s="9" t="str">
        <x:v>Окончание, мс</x:v>
      </x:c>
      <x:c r="F1" s="2"/>
      <x:c r="G1" s="18" t="str">
        <x:v>ЕГЭ 22. Расчёт по зависимостям</x:v>
      </x:c>
      <x:c r="H1" s="5"/>
      <x:c r="I1" s="5"/>
      <x:c r="J1" s="5"/>
      <x:c r="K1" s="5"/>
      <x:c r="L1" s="5"/>
    </x:row>
    <x:row r="2" ht="42" customHeight="1">
      <x:c r="A2" s="13" t="n">
        <x:v>1</x:v>
      </x:c>
      <x:c r="B2" s="14" t="n">
        <x:v>4</x:v>
      </x:c>
      <x:c r="C2" s="15" t="str">
        <x:v>0</x:v>
      </x:c>
      <x:c r="D2" s="16" t="n">
        <x:f>0</x:f>
        <x:v>0</x:v>
      </x:c>
      <x:c r="E2" s="16" t="n">
        <x:f>D2+B2</x:f>
        <x:v>4</x:v>
      </x:c>
      <x:c r="F2" s="2"/>
      <x:c r="G2" s="19" t="str">
        <x:v>Учебные данные составлены специально для этого урока. Все независимые процессы начинают в 0, остальные — сразу после готовности всех результатов.</x:v>
      </x:c>
    </x:row>
    <x:row r="3" ht="25" customHeight="1">
      <x:c r="A3" s="13" t="n">
        <x:v>2</x:v>
      </x:c>
      <x:c r="B3" s="14" t="n">
        <x:v>6</x:v>
      </x:c>
      <x:c r="C3" s="15" t="str">
        <x:v>0</x:v>
      </x:c>
      <x:c r="D3" s="16" t="n">
        <x:f>0</x:f>
        <x:v>0</x:v>
      </x:c>
      <x:c r="E3" s="16" t="n">
        <x:f>D3+B3</x:f>
        <x:v>6</x:v>
      </x:c>
      <x:c r="F3" s="2"/>
      <x:c r="G3" s="2"/>
    </x:row>
    <x:row r="4" ht="42" customHeight="1">
      <x:c r="A4" s="13" t="n">
        <x:v>3</x:v>
      </x:c>
      <x:c r="B4" s="14" t="n">
        <x:v>3</x:v>
      </x:c>
      <x:c r="C4" s="15" t="str">
        <x:v>1</x:v>
      </x:c>
      <x:c r="D4" s="16" t="n">
        <x:f>MAX(E2)</x:f>
        <x:v>4</x:v>
      </x:c>
      <x:c r="E4" s="16" t="n">
        <x:f>D4+B4</x:f>
        <x:v>7</x:v>
      </x:c>
      <x:c r="F4" s="2"/>
      <x:c r="G4" s="19" t="str">
        <x:v>Начало процесса = самое позднее окончание его поставщиков. Окончание = начало + собственная длительность.</x:v>
      </x:c>
    </x:row>
    <x:row r="5" ht="25" customHeight="1">
      <x:c r="A5" s="13" t="n">
        <x:v>4</x:v>
      </x:c>
      <x:c r="B5" s="14" t="n">
        <x:v>2</x:v>
      </x:c>
      <x:c r="C5" s="15" t="str">
        <x:v>1; 2</x:v>
      </x:c>
      <x:c r="D5" s="16" t="n">
        <x:f>MAX(E2,E3)</x:f>
        <x:v>6</x:v>
      </x:c>
      <x:c r="E5" s="16" t="n">
        <x:f>D5+B5</x:f>
        <x:v>8</x:v>
      </x:c>
      <x:c r="F5" s="2"/>
      <x:c r="G5" s="2"/>
    </x:row>
    <x:row r="6" ht="42" customHeight="1">
      <x:c r="A6" s="13" t="n">
        <x:v>5</x:v>
      </x:c>
      <x:c r="B6" s="14" t="n">
        <x:v>5</x:v>
      </x:c>
      <x:c r="C6" s="15" t="str">
        <x:v>2</x:v>
      </x:c>
      <x:c r="D6" s="16" t="n">
        <x:f>MAX(E3)</x:f>
        <x:v>6</x:v>
      </x:c>
      <x:c r="E6" s="16" t="n">
        <x:f>D6+B6</x:f>
        <x:v>11</x:v>
      </x:c>
      <x:c r="F6" s="2"/>
      <x:c r="G6" s="19" t="str">
        <x:v>Процесс 4 ждёт процессы 1 и 2. Для него D5 = MAX(E2,E3), поэтому начало равно 6.</x:v>
      </x:c>
    </x:row>
    <x:row r="7" ht="25" customHeight="1">
      <x:c r="A7" s="13" t="n">
        <x:v>6</x:v>
      </x:c>
      <x:c r="B7" s="14" t="n">
        <x:v>4</x:v>
      </x:c>
      <x:c r="C7" s="15" t="str">
        <x:v>3; 4</x:v>
      </x:c>
      <x:c r="D7" s="16" t="n">
        <x:f>MAX(E4,E5)</x:f>
        <x:v>8</x:v>
      </x:c>
      <x:c r="E7" s="16" t="n">
        <x:f>D7+B7</x:f>
        <x:v>12</x:v>
      </x:c>
      <x:c r="F7" s="2"/>
      <x:c r="G7" s="2"/>
    </x:row>
    <x:row r="8" ht="42" customHeight="1">
      <x:c r="A8" s="13" t="n">
        <x:v>7</x:v>
      </x:c>
      <x:c r="B8" s="14" t="n">
        <x:v>2</x:v>
      </x:c>
      <x:c r="C8" s="15" t="str">
        <x:v>4; 5</x:v>
      </x:c>
      <x:c r="D8" s="16" t="n">
        <x:f>MAX(E5,E6)</x:f>
        <x:v>11</x:v>
      </x:c>
      <x:c r="E8" s="16" t="n">
        <x:f>D8+B8</x:f>
        <x:v>13</x:v>
      </x:c>
      <x:c r="F8" s="2"/>
      <x:c r="G8" s="19" t="str">
        <x:v>Процесс 7 ждёт процессы 4 и 5. Их окончания: 8 и 11. Начало процесса 7 равно 11.</x:v>
      </x:c>
    </x:row>
    <x:row r="9" ht="25" customHeight="1">
      <x:c r="A9" s="13" t="n">
        <x:v>8</x:v>
      </x:c>
      <x:c r="B9" s="14" t="n">
        <x:v>1</x:v>
      </x:c>
      <x:c r="C9" s="15" t="str">
        <x:v>6; 7</x:v>
      </x:c>
      <x:c r="D9" s="16" t="n">
        <x:f>MAX(E7,E8)</x:f>
        <x:v>13</x:v>
      </x:c>
      <x:c r="E9" s="16" t="n">
        <x:f>D9+B9</x:f>
        <x:v>14</x:v>
      </x:c>
      <x:c r="F9" s="2"/>
      <x:c r="G9" s="2"/>
    </x:row>
    <x:row r="10" ht="42" customHeight="1">
      <x:c r="A10" s="2"/>
      <x:c r="B10" s="2"/>
      <x:c r="C10" s="2"/>
      <x:c r="D10" s="2"/>
      <x:c r="E10" s="2"/>
      <x:c r="F10" s="2"/>
      <x:c r="G10" s="19" t="str">
        <x:v>Критическая цепочка: 2, 5, 7, 8. Сумма длительностей равна 14. Все процессы завершаются к этому времени.</x:v>
      </x:c>
    </x:row>
    <x:row r="11" ht="25" customHeight="1">
      <x:c r="A11" s="2"/>
      <x:c r="B11" s="2"/>
      <x:c r="C11" s="17" t="str">
        <x:v>Все готовы, мс</x:v>
      </x:c>
      <x:c r="D11" s="17"/>
      <x:c r="E11" s="17" t="n">
        <x:f>MAX(E2:E9)</x:f>
        <x:v>14</x:v>
      </x:c>
      <x:c r="F11" s="2"/>
      <x:c r="G11" s="2"/>
    </x:row>
    <x:row r="12" ht="42" customHeight="1">
      <x:c r="A12" s="2"/>
      <x:c r="B12" s="2"/>
      <x:c r="C12" s="2" t="str">
        <x:v>Сумма работ, мс</x:v>
      </x:c>
      <x:c r="D12" s="2"/>
      <x:c r="E12" s="2" t="n">
        <x:f>SUM(B2:B9)</x:f>
        <x:v>27</x:v>
      </x:c>
      <x:c r="F12" s="2"/>
      <x:c r="G12" s="19" t="str">
        <x:v>Жёлтые ячейки — длительности. Голубые — формулы. Измените B7 (процесс 6) с 4 на 7: итог станет 16. Затем верните 4.</x:v>
      </x:c>
    </x:row>
    <x:row r="13" ht="25" customHeight="1">
      <x:c r="A13" s="2"/>
      <x:c r="B13" s="2"/>
      <x:c r="C13" s="2"/>
      <x:c r="D13" s="2"/>
      <x:c r="E13" s="2"/>
      <x:c r="F13" s="2"/>
      <x:c r="G13" s="2"/>
    </x:row>
    <x:row r="14" ht="42" customHeight="1">
      <x:c r="A14" s="2"/>
      <x:c r="B14" s="2"/>
      <x:c r="C14" s="2"/>
      <x:c r="D14" s="2"/>
      <x:c r="E14" s="2"/>
      <x:c r="F14" s="2"/>
      <x:c r="G14" s="19" t="str">
        <x:v>Листы ВПР и Параллельность используют эти же длительности. На листе Практика заполните начало и окончание самостоятельно, затем откройте Решения.</x:v>
      </x:c>
    </x:row>
    <x:row r="15" ht="25" customHeight="1">
      <x:c r="A15" s="2"/>
      <x:c r="B15" s="2"/>
      <x:c r="C15" s="2"/>
      <x:c r="D15" s="2"/>
      <x:c r="E15" s="2"/>
      <x:c r="F15" s="2"/>
      <x:c r="G15" s="2"/>
    </x:row>
    <x:row r="16" ht="25" customHeight="1">
      <x:c r="A16" s="2"/>
      <x:c r="B16" s="2"/>
      <x:c r="C16" s="2"/>
      <x:c r="D16" s="2"/>
      <x:c r="E16" s="2"/>
      <x:c r="F16" s="2"/>
      <x:c r="G16" s="2"/>
    </x:row>
    <x:row r="17" ht="25" customHeight="1">
      <x:c r="A17" s="20" t="str">
        <x:v>Источник метода и подборка задач:</x:v>
      </x:c>
      <x:c r="B17" s="20"/>
      <x:c r="C17" s="20"/>
      <x:c r="D17" s="20"/>
      <x:c r="E17" s="20"/>
      <x:c r="F17" s="2"/>
      <x:c r="G17" s="2"/>
    </x:row>
    <x:row r="18" ht="25" customHeight="1">
      <x:c r="A18" s="20" t="str">
        <x:v>https://inf-ege.sdamgia.ru/test?theme=215</x:v>
      </x:c>
      <x:c r="B18" s="20"/>
      <x:c r="C18" s="20"/>
      <x:c r="D18" s="20"/>
      <x:c r="E18" s="20"/>
      <x:c r="F18" s="2"/>
      <x:c r="G18" s="2"/>
    </x:row>
    <x:row r="19" ht="25" customHeight="1">
      <x:c r="A19" s="2"/>
      <x:c r="B19" s="2"/>
      <x:c r="C19" s="2"/>
      <x:c r="D19" s="2"/>
      <x:c r="E19" s="2"/>
      <x:c r="F19" s="2"/>
      <x:c r="G19" s="2"/>
    </x:row>
    <x:row r="20" ht="25" customHeight="1">
      <x:c r="A20" s="2"/>
      <x:c r="B20" s="2"/>
      <x:c r="C20" s="2"/>
      <x:c r="D20" s="2"/>
      <x:c r="E20" s="2"/>
      <x:c r="F20" s="2"/>
      <x:c r="G20" s="2"/>
    </x:row>
    <x:row r="21" ht="25" customHeight="1">
      <x:c r="A21" s="2"/>
      <x:c r="B21" s="2"/>
      <x:c r="C21" s="2"/>
      <x:c r="D21" s="2"/>
      <x:c r="E21" s="2"/>
      <x:c r="F21" s="2"/>
      <x:c r="G21" s="2"/>
    </x:row>
    <x:row r="22" ht="25" customHeight="1">
      <x:c r="A22" s="2"/>
      <x:c r="B22" s="2"/>
      <x:c r="C22" s="2"/>
      <x:c r="D22" s="2"/>
      <x:c r="E22" s="2"/>
      <x:c r="F22" s="2"/>
      <x:c r="G22" s="2"/>
    </x:row>
    <x:row r="23" ht="25" customHeight="1">
      <x:c r="A23" s="2"/>
      <x:c r="B23" s="2"/>
      <x:c r="C23" s="2"/>
      <x:c r="D23" s="2"/>
      <x:c r="E23" s="2"/>
      <x:c r="F23" s="2"/>
      <x:c r="G23" s="2"/>
    </x:row>
    <x:row r="24" ht="25" customHeight="1">
      <x:c r="A24" s="2"/>
      <x:c r="B24" s="2"/>
      <x:c r="C24" s="2"/>
      <x:c r="D24" s="2"/>
      <x:c r="E24" s="2"/>
      <x:c r="F24" s="2"/>
      <x:c r="G24" s="2"/>
    </x:row>
    <x:row r="25" ht="25" customHeight="1">
      <x:c r="A25" s="2"/>
      <x:c r="B25" s="2"/>
      <x:c r="C25" s="2"/>
      <x:c r="D25" s="2"/>
      <x:c r="E25" s="2"/>
      <x:c r="F25" s="2"/>
      <x:c r="G2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7" hidden="0" customWidth="1"/>
    <x:col min="3" max="3" width="22" hidden="0" customWidth="1"/>
    <x:col min="4" max="4" width="17" hidden="0" customWidth="1"/>
    <x:col min="5" max="5" width="18" hidden="0" customWidth="1"/>
    <x:col min="6" max="6" width="17" hidden="0" customWidth="1"/>
    <x:col min="7" max="7" width="17" hidden="0" customWidth="1"/>
    <x:col min="8" max="8" width="3" hidden="0" customWidth="1"/>
    <x:col min="9" max="9" width="65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8" customHeight="1">
      <x:c r="A1" s="9" t="str">
        <x:v>ID</x:v>
      </x:c>
      <x:c r="B1" s="9" t="str">
        <x:v>Длительность, мс</x:v>
      </x:c>
      <x:c r="C1" s="9" t="str">
        <x:v>Поставщик 1</x:v>
      </x:c>
      <x:c r="D1" s="9" t="str">
        <x:v>Поставщик 2</x:v>
      </x:c>
      <x:c r="E1" s="9" t="str">
        <x:v>Поставщик 3</x:v>
      </x:c>
      <x:c r="F1" s="9" t="str">
        <x:v>Начало, мс</x:v>
      </x:c>
      <x:c r="G1" s="9" t="str">
        <x:v>Окончание, мс</x:v>
      </x:c>
      <x:c r="H1" s="4"/>
      <x:c r="I1" s="18" t="str">
        <x:v>ВПР ищет окончание по ID</x:v>
      </x:c>
      <x:c r="J1" s="5"/>
      <x:c r="K1" s="5"/>
      <x:c r="L1" s="5"/>
    </x:row>
    <x:row r="2" ht="25" customHeight="1">
      <x:c r="A2" s="13" t="n">
        <x:v>0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28" t="n">
        <x:v>0</x:v>
      </x:c>
      <x:c r="G2" s="28" t="n">
        <x:v>0</x:v>
      </x:c>
      <x:c r="H2" s="2"/>
      <x:c r="I2" s="2"/>
    </x:row>
    <x:row r="3" ht="48" customHeight="1">
      <x:c r="A3" s="13" t="n">
        <x:v>1</x:v>
      </x:c>
      <x:c r="B3" s="13" t="n">
        <x:f>'Разбор'!B2</x:f>
        <x:v>4</x:v>
      </x:c>
      <x:c r="C3" s="14" t="n">
        <x:v>0</x:v>
      </x:c>
      <x:c r="D3" s="14" t="n">
        <x:v>0</x:v>
      </x:c>
      <x:c r="E3" s="14" t="n">
        <x:v>0</x:v>
      </x:c>
      <x:c r="F3" s="29" t="n">
        <x:f>MAX(VLOOKUP(C3,$A$2:$G2,7,0),VLOOKUP(D3,$A$2:$G2,7,0),VLOOKUP(E3,$A$2:$G2,7,0))</x:f>
        <x:v>0</x:v>
      </x:c>
      <x:c r="G3" s="29" t="n">
        <x:f>F3+B3</x:f>
        <x:v>4</x:v>
      </x:c>
      <x:c r="H3" s="2"/>
      <x:c r="I3" s="19" t="str">
        <x:v>Строка 2 — служебный процесс 0 с окончанием 0. Он обозначает отсутствие поставщика и не участвует в подсчёте числа процессов.</x:v>
      </x:c>
    </x:row>
    <x:row r="4" ht="25" customHeight="1">
      <x:c r="A4" s="13" t="n">
        <x:v>2</x:v>
      </x:c>
      <x:c r="B4" s="13" t="n">
        <x:f>'Разбор'!B3</x:f>
        <x:v>6</x:v>
      </x:c>
      <x:c r="C4" s="14" t="n">
        <x:v>0</x:v>
      </x:c>
      <x:c r="D4" s="14" t="n">
        <x:v>0</x:v>
      </x:c>
      <x:c r="E4" s="14" t="n">
        <x:v>0</x:v>
      </x:c>
      <x:c r="F4" s="29" t="n">
        <x:f>MAX(VLOOKUP(C4,$A$2:$G3,7,0),VLOOKUP(D4,$A$2:$G3,7,0),VLOOKUP(E4,$A$2:$G3,7,0))</x:f>
        <x:v>0</x:v>
      </x:c>
      <x:c r="G4" s="29" t="n">
        <x:f>F4+B4</x:f>
        <x:v>6</x:v>
      </x:c>
      <x:c r="H4" s="2"/>
      <x:c r="I4" s="2"/>
    </x:row>
    <x:row r="5" ht="48" customHeight="1">
      <x:c r="A5" s="13" t="n">
        <x:v>3</x:v>
      </x:c>
      <x:c r="B5" s="13" t="n">
        <x:f>'Разбор'!B4</x:f>
        <x:v>3</x:v>
      </x:c>
      <x:c r="C5" s="14" t="n">
        <x:v>1</x:v>
      </x:c>
      <x:c r="D5" s="14" t="n">
        <x:v>0</x:v>
      </x:c>
      <x:c r="E5" s="14" t="n">
        <x:v>0</x:v>
      </x:c>
      <x:c r="F5" s="29" t="n">
        <x:f>MAX(VLOOKUP(C5,$A$2:$G4,7,0),VLOOKUP(D5,$A$2:$G4,7,0),VLOOKUP(E5,$A$2:$G4,7,0))</x:f>
        <x:v>4</x:v>
      </x:c>
      <x:c r="G5" s="29" t="n">
        <x:f>F5+B5</x:f>
        <x:v>7</x:v>
      </x:c>
      <x:c r="H5" s="2"/>
      <x:c r="I5" s="19" t="str">
        <x:v>До расчёта расположите процессы так, чтобы все поставщики стояли выше своих получателей. Сортировка только по ID подходит не всегда.</x:v>
      </x:c>
    </x:row>
    <x:row r="6" ht="25" customHeight="1">
      <x:c r="A6" s="13" t="n">
        <x:v>4</x:v>
      </x:c>
      <x:c r="B6" s="13" t="n">
        <x:f>'Разбор'!B5</x:f>
        <x:v>2</x:v>
      </x:c>
      <x:c r="C6" s="14" t="n">
        <x:v>1</x:v>
      </x:c>
      <x:c r="D6" s="14" t="n">
        <x:v>2</x:v>
      </x:c>
      <x:c r="E6" s="14" t="n">
        <x:v>0</x:v>
      </x:c>
      <x:c r="F6" s="29" t="n">
        <x:f>MAX(VLOOKUP(C6,$A$2:$G5,7,0),VLOOKUP(D6,$A$2:$G5,7,0),VLOOKUP(E6,$A$2:$G5,7,0))</x:f>
        <x:v>6</x:v>
      </x:c>
      <x:c r="G6" s="29" t="n">
        <x:f>F6+B6</x:f>
        <x:v>8</x:v>
      </x:c>
      <x:c r="H6" s="2"/>
      <x:c r="I6" s="2"/>
    </x:row>
    <x:row r="7" ht="48" customHeight="1">
      <x:c r="A7" s="13" t="n">
        <x:v>5</x:v>
      </x:c>
      <x:c r="B7" s="13" t="n">
        <x:f>'Разбор'!B6</x:f>
        <x:v>5</x:v>
      </x:c>
      <x:c r="C7" s="14" t="n">
        <x:v>2</x:v>
      </x:c>
      <x:c r="D7" s="14" t="n">
        <x:v>0</x:v>
      </x:c>
      <x:c r="E7" s="14" t="n">
        <x:v>0</x:v>
      </x:c>
      <x:c r="F7" s="29" t="n">
        <x:f>MAX(VLOOKUP(C7,$A$2:$G6,7,0),VLOOKUP(D7,$A$2:$G6,7,0),VLOOKUP(E7,$A$2:$G6,7,0))</x:f>
        <x:v>6</x:v>
      </x:c>
      <x:c r="G7" s="29" t="n">
        <x:f>F7+B7</x:f>
        <x:v>11</x:v>
      </x:c>
      <x:c r="H7" s="2"/>
      <x:c r="I7" s="19" t="str">
        <x:v>ВПР ищет ID в первом столбце диапазона и возвращает окончание из 7-го столбца. Последний аргумент 0 означает точное совпадение.</x:v>
      </x:c>
    </x:row>
    <x:row r="8" ht="25" customHeight="1">
      <x:c r="A8" s="13" t="n">
        <x:v>6</x:v>
      </x:c>
      <x:c r="B8" s="13" t="n">
        <x:f>'Разбор'!B7</x:f>
        <x:v>4</x:v>
      </x:c>
      <x:c r="C8" s="14" t="n">
        <x:v>3</x:v>
      </x:c>
      <x:c r="D8" s="14" t="n">
        <x:v>4</x:v>
      </x:c>
      <x:c r="E8" s="14" t="n">
        <x:v>0</x:v>
      </x:c>
      <x:c r="F8" s="29" t="n">
        <x:f>MAX(VLOOKUP(C8,$A$2:$G7,7,0),VLOOKUP(D8,$A$2:$G7,7,0),VLOOKUP(E8,$A$2:$G7,7,0))</x:f>
        <x:v>8</x:v>
      </x:c>
      <x:c r="G8" s="29" t="n">
        <x:f>F8+B8</x:f>
        <x:v>12</x:v>
      </x:c>
      <x:c r="H8" s="2"/>
      <x:c r="I8" s="2"/>
    </x:row>
    <x:row r="9" ht="48" customHeight="1">
      <x:c r="A9" s="13" t="n">
        <x:v>7</x:v>
      </x:c>
      <x:c r="B9" s="13" t="n">
        <x:f>'Разбор'!B8</x:f>
        <x:v>2</x:v>
      </x:c>
      <x:c r="C9" s="14" t="n">
        <x:v>4</x:v>
      </x:c>
      <x:c r="D9" s="14" t="n">
        <x:v>5</x:v>
      </x:c>
      <x:c r="E9" s="14" t="n">
        <x:v>0</x:v>
      </x:c>
      <x:c r="F9" s="29" t="n">
        <x:f>MAX(VLOOKUP(C9,$A$2:$G8,7,0),VLOOKUP(D9,$A$2:$G8,7,0),VLOOKUP(E9,$A$2:$G8,7,0))</x:f>
        <x:v>11</x:v>
      </x:c>
      <x:c r="G9" s="29" t="n">
        <x:f>F9+B9</x:f>
        <x:v>13</x:v>
      </x:c>
      <x:c r="H9" s="2"/>
      <x:c r="I9" s="19" t="str">
        <x:v>Диапазон $A$2:$G2 в строке 3 заканчивается на предыдущей строке. При копировании вниз конец растёт: $A$2:$G3, $A$2:$G4 и далее.</x:v>
      </x:c>
    </x:row>
    <x:row r="10" ht="25" customHeight="1">
      <x:c r="A10" s="13" t="n">
        <x:v>8</x:v>
      </x:c>
      <x:c r="B10" s="13" t="n">
        <x:f>'Разбор'!B9</x:f>
        <x:v>1</x:v>
      </x:c>
      <x:c r="C10" s="14" t="n">
        <x:v>6</x:v>
      </x:c>
      <x:c r="D10" s="14" t="n">
        <x:v>7</x:v>
      </x:c>
      <x:c r="E10" s="14" t="n">
        <x:v>0</x:v>
      </x:c>
      <x:c r="F10" s="29" t="n">
        <x:f>MAX(VLOOKUP(C10,$A$2:$G9,7,0),VLOOKUP(D10,$A$2:$G9,7,0),VLOOKUP(E10,$A$2:$G9,7,0))</x:f>
        <x:v>13</x:v>
      </x:c>
      <x:c r="G10" s="29" t="n">
        <x:f>F10+B10</x:f>
        <x:v>14</x:v>
      </x:c>
      <x:c r="H10" s="2"/>
      <x:c r="I10" s="2"/>
    </x:row>
    <x:row r="11" ht="48" customHeight="1">
      <x:c r="A11" s="2"/>
      <x:c r="B11" s="2"/>
      <x:c r="C11" s="2"/>
      <x:c r="D11" s="2"/>
      <x:c r="E11" s="2"/>
      <x:c r="F11" s="3"/>
      <x:c r="G11" s="3"/>
      <x:c r="H11" s="2"/>
      <x:c r="I11" s="19" t="str">
        <x:v>Во всех пустых столбцах поставщиков стоят числовые нули. Если поставщиков больше трёх, добавьте столбцы и измените номер столбца окончания в ВПР.</x:v>
      </x:c>
    </x:row>
    <x:row r="12" ht="25" customHeight="1">
      <x:c r="A12" s="2"/>
      <x:c r="B12" s="2"/>
      <x:c r="C12" s="2"/>
      <x:c r="D12" s="2"/>
      <x:c r="E12" s="30" t="str">
        <x:v>Все готовы, мс</x:v>
      </x:c>
      <x:c r="F12" s="31"/>
      <x:c r="G12" s="31" t="n">
        <x:f>MAX(G3:G10)</x:f>
        <x:v>14</x:v>
      </x:c>
      <x:c r="H12" s="2"/>
      <x:c r="I12" s="2"/>
    </x:row>
    <x:row r="13" ht="48" customHeight="1">
      <x:c r="A13" s="2"/>
      <x:c r="B13" s="2"/>
      <x:c r="C13" s="2"/>
      <x:c r="D13" s="2"/>
      <x:c r="E13" s="2"/>
      <x:c r="F13" s="2"/>
      <x:c r="G13" s="2"/>
      <x:c r="H13" s="2"/>
      <x:c r="I13" s="19" t="str">
        <x:v>Внутри XLSX формулы записаны на английском. Русский Excel показывает локальные названия функций. В тексте урока даны МАКС и ВПР.</x:v>
      </x:c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7" hidden="0" customWidth="1"/>
    <x:col min="3" max="3" width="31" hidden="0" customWidth="1"/>
    <x:col min="4" max="4" width="17" hidden="0" customWidth="1"/>
    <x:col min="5" max="5" width="18" hidden="0" customWidth="1"/>
    <x:col min="6" max="6" width="3" hidden="0" customWidth="1"/>
    <x:col min="7" max="7" width="3.7799999713897705" hidden="0" customWidth="1"/>
    <x:col min="8" max="8" width="3.7799999713897705" hidden="0" customWidth="1"/>
    <x:col min="9" max="9" width="3.7799999713897705" hidden="0" customWidth="1"/>
    <x:col min="10" max="10" width="3.7799999713897705" hidden="0" customWidth="1"/>
    <x:col min="11" max="11" width="3.7799999713897705" hidden="0" customWidth="1"/>
    <x:col min="12" max="12" width="3.7799999713897705" hidden="0" customWidth="1"/>
    <x:col min="13" max="13" width="3.7799999713897705" hidden="0" customWidth="1"/>
    <x:col min="14" max="14" width="3.7799999713897705" hidden="0" customWidth="1"/>
    <x:col min="15" max="15" width="3.7799999713897705" hidden="0" customWidth="1"/>
    <x:col min="16" max="16" width="3.7799999713897705" hidden="0" customWidth="1"/>
    <x:col min="17" max="17" width="3.7799999713897705" hidden="0" customWidth="1"/>
    <x:col min="18" max="18" width="3.7799999713897705" hidden="0" customWidth="1"/>
    <x:col min="19" max="19" width="3.7799999713897705" hidden="0" customWidth="1"/>
    <x:col min="20" max="20" width="3.7799999713897705" hidden="0" customWidth="1"/>
    <x:col min="21" max="21" width="3.7799999713897705" hidden="0" customWidth="1"/>
    <x:col min="22" max="22" width="3.7799999713897705" hidden="0" customWidth="1"/>
    <x:col min="23" max="23" width="3.7799999713897705" hidden="0" customWidth="1"/>
    <x:col min="24" max="24" width="3.7799999713897705" hidden="0" customWidth="1"/>
    <x:col min="25" max="25" width="3.7799999713897705" hidden="0" customWidth="1"/>
    <x:col min="26" max="26" width="3.7799999713897705" hidden="0" customWidth="1"/>
    <x:col min="27" max="27" width="3.7799999713897705" hidden="0" customWidth="1"/>
    <x:col min="28" max="28" width="3.7799999713897705" hidden="0" customWidth="1"/>
    <x:col min="29" max="29" width="3.7799999713897705" hidden="0" customWidth="1"/>
    <x:col min="30" max="30" width="3.7799999713897705" hidden="0" customWidth="1"/>
    <x:col min="31" max="31" width="3.7799999713897705" hidden="0" customWidth="1"/>
    <x:col min="32" max="32" width="3.7799999713897705" hidden="0" customWidth="1"/>
    <x:col min="33" max="33" width="3.7799999713897705" hidden="0" customWidth="1"/>
    <x:col min="34" max="34" width="3.7799999713897705" hidden="0" customWidth="1"/>
    <x:col min="35" max="35" width="3.7799999713897705" hidden="0" customWidth="1"/>
    <x:col min="36" max="36" width="3.7799999713897705" hidden="0" customWidth="1"/>
  </x:cols>
  <x:sheetData>
    <x:row r="1" ht="38" customHeight="1">
      <x:c r="A1" s="9" t="str">
        <x:v>ID</x:v>
      </x:c>
      <x:c r="B1" s="9" t="str">
        <x:v>Длительность, мс</x:v>
      </x:c>
      <x:c r="C1" s="9" t="str">
        <x:v>Зависит от ID</x:v>
      </x:c>
      <x:c r="D1" s="9" t="str">
        <x:v>Начало, мс</x:v>
      </x:c>
      <x:c r="E1" s="9" t="str">
        <x:v>Окончание, мс</x:v>
      </x:c>
      <x:c r="F1" s="2"/>
      <x:c r="G1" s="32" t="n">
        <x:v>0</x:v>
      </x:c>
      <x:c r="H1" s="32" t="n">
        <x:v>1</x:v>
      </x:c>
      <x:c r="I1" s="32" t="n">
        <x:v>2</x:v>
      </x:c>
      <x:c r="J1" s="32" t="n">
        <x:v>3</x:v>
      </x:c>
      <x:c r="K1" s="32" t="n">
        <x:v>4</x:v>
      </x:c>
      <x:c r="L1" s="32" t="n">
        <x:v>5</x:v>
      </x:c>
      <x:c r="M1" s="32" t="n">
        <x:v>6</x:v>
      </x:c>
      <x:c r="N1" s="32" t="n">
        <x:v>7</x:v>
      </x:c>
      <x:c r="O1" s="32" t="n">
        <x:v>8</x:v>
      </x:c>
      <x:c r="P1" s="32" t="n">
        <x:v>9</x:v>
      </x:c>
      <x:c r="Q1" s="32" t="n">
        <x:v>10</x:v>
      </x:c>
      <x:c r="R1" s="32" t="n">
        <x:v>11</x:v>
      </x:c>
      <x:c r="S1" s="32" t="n">
        <x:v>12</x:v>
      </x:c>
      <x:c r="T1" s="32" t="n">
        <x:v>13</x:v>
      </x:c>
      <x:c r="U1" s="32" t="n">
        <x:v>14</x:v>
      </x:c>
      <x:c r="V1" s="32" t="n">
        <x:v>15</x:v>
      </x:c>
      <x:c r="W1" s="32" t="n">
        <x:v>16</x:v>
      </x:c>
      <x:c r="X1" s="32" t="n">
        <x:v>17</x:v>
      </x:c>
      <x:c r="Y1" s="32" t="n">
        <x:v>18</x:v>
      </x:c>
      <x:c r="Z1" s="32" t="n">
        <x:v>19</x:v>
      </x:c>
      <x:c r="AA1" s="32" t="n">
        <x:v>20</x:v>
      </x:c>
      <x:c r="AB1" s="32" t="n">
        <x:v>21</x:v>
      </x:c>
      <x:c r="AC1" s="32" t="n">
        <x:v>22</x:v>
      </x:c>
      <x:c r="AD1" s="32" t="n">
        <x:v>23</x:v>
      </x:c>
      <x:c r="AE1" s="32" t="n">
        <x:v>24</x:v>
      </x:c>
      <x:c r="AF1" s="32" t="n">
        <x:v>25</x:v>
      </x:c>
      <x:c r="AG1" s="32" t="n">
        <x:v>26</x:v>
      </x:c>
      <x:c r="AH1" s="32" t="n">
        <x:v>27</x:v>
      </x:c>
      <x:c r="AI1" s="32" t="n">
        <x:v>28</x:v>
      </x:c>
      <x:c r="AJ1" s="32" t="n">
        <x:v>29</x:v>
      </x:c>
    </x:row>
    <x:row r="2" ht="25" customHeight="1">
      <x:c r="A2" s="13" t="n">
        <x:f>'Разбор'!A2</x:f>
        <x:v>1</x:v>
      </x:c>
      <x:c r="B2" s="14" t="n">
        <x:f>'Разбор'!B2</x:f>
        <x:v>4</x:v>
      </x:c>
      <x:c r="C2" s="15" t="str">
        <x:f>'Разбор'!C2</x:f>
        <x:v>0</x:v>
      </x:c>
      <x:c r="D2" s="16" t="n">
        <x:f>'Разбор'!D2</x:f>
        <x:v>0</x:v>
      </x:c>
      <x:c r="E2" s="16" t="n">
        <x:f>'Разбор'!E2</x:f>
        <x:v>4</x:v>
      </x:c>
      <x:c r="F2" s="2"/>
      <x:c r="G2" s="34" t="n">
        <x:f>IF(AND($D2&lt;=G$1,G$1&lt;$E2),1,0)</x:f>
        <x:v>1</x:v>
      </x:c>
      <x:c r="H2" s="34" t="n">
        <x:f>IF(AND($D2&lt;=H$1,H$1&lt;$E2),1,0)</x:f>
        <x:v>1</x:v>
      </x:c>
      <x:c r="I2" s="34" t="n">
        <x:f>IF(AND($D2&lt;=I$1,I$1&lt;$E2),1,0)</x:f>
        <x:v>1</x:v>
      </x:c>
      <x:c r="J2" s="34" t="n">
        <x:f>IF(AND($D2&lt;=J$1,J$1&lt;$E2),1,0)</x:f>
        <x:v>1</x:v>
      </x:c>
      <x:c r="K2" s="34" t="n">
        <x:f>IF(AND($D2&lt;=K$1,K$1&lt;$E2),1,0)</x:f>
        <x:v>0</x:v>
      </x:c>
      <x:c r="L2" s="34" t="n">
        <x:f>IF(AND($D2&lt;=L$1,L$1&lt;$E2),1,0)</x:f>
        <x:v>0</x:v>
      </x:c>
      <x:c r="M2" s="34" t="n">
        <x:f>IF(AND($D2&lt;=M$1,M$1&lt;$E2),1,0)</x:f>
        <x:v>0</x:v>
      </x:c>
      <x:c r="N2" s="34" t="n">
        <x:f>IF(AND($D2&lt;=N$1,N$1&lt;$E2),1,0)</x:f>
        <x:v>0</x:v>
      </x:c>
      <x:c r="O2" s="34" t="n">
        <x:f>IF(AND($D2&lt;=O$1,O$1&lt;$E2),1,0)</x:f>
        <x:v>0</x:v>
      </x:c>
      <x:c r="P2" s="34" t="n">
        <x:f>IF(AND($D2&lt;=P$1,P$1&lt;$E2),1,0)</x:f>
        <x:v>0</x:v>
      </x:c>
      <x:c r="Q2" s="34" t="n">
        <x:f>IF(AND($D2&lt;=Q$1,Q$1&lt;$E2),1,0)</x:f>
        <x:v>0</x:v>
      </x:c>
      <x:c r="R2" s="34" t="n">
        <x:f>IF(AND($D2&lt;=R$1,R$1&lt;$E2),1,0)</x:f>
        <x:v>0</x:v>
      </x:c>
      <x:c r="S2" s="34" t="n">
        <x:f>IF(AND($D2&lt;=S$1,S$1&lt;$E2),1,0)</x:f>
        <x:v>0</x:v>
      </x:c>
      <x:c r="T2" s="34" t="n">
        <x:f>IF(AND($D2&lt;=T$1,T$1&lt;$E2),1,0)</x:f>
        <x:v>0</x:v>
      </x:c>
      <x:c r="U2" s="34" t="n">
        <x:f>IF(AND($D2&lt;=U$1,U$1&lt;$E2),1,0)</x:f>
        <x:v>0</x:v>
      </x:c>
      <x:c r="V2" s="34" t="n">
        <x:f>IF(AND($D2&lt;=V$1,V$1&lt;$E2),1,0)</x:f>
        <x:v>0</x:v>
      </x:c>
      <x:c r="W2" s="34" t="n">
        <x:f>IF(AND($D2&lt;=W$1,W$1&lt;$E2),1,0)</x:f>
        <x:v>0</x:v>
      </x:c>
      <x:c r="X2" s="34" t="n">
        <x:f>IF(AND($D2&lt;=X$1,X$1&lt;$E2),1,0)</x:f>
        <x:v>0</x:v>
      </x:c>
      <x:c r="Y2" s="34" t="n">
        <x:f>IF(AND($D2&lt;=Y$1,Y$1&lt;$E2),1,0)</x:f>
        <x:v>0</x:v>
      </x:c>
      <x:c r="Z2" s="34" t="n">
        <x:f>IF(AND($D2&lt;=Z$1,Z$1&lt;$E2),1,0)</x:f>
        <x:v>0</x:v>
      </x:c>
      <x:c r="AA2" s="34" t="n">
        <x:f>IF(AND($D2&lt;=AA$1,AA$1&lt;$E2),1,0)</x:f>
        <x:v>0</x:v>
      </x:c>
      <x:c r="AB2" s="34" t="n">
        <x:f>IF(AND($D2&lt;=AB$1,AB$1&lt;$E2),1,0)</x:f>
        <x:v>0</x:v>
      </x:c>
      <x:c r="AC2" s="34" t="n">
        <x:f>IF(AND($D2&lt;=AC$1,AC$1&lt;$E2),1,0)</x:f>
        <x:v>0</x:v>
      </x:c>
      <x:c r="AD2" s="34" t="n">
        <x:f>IF(AND($D2&lt;=AD$1,AD$1&lt;$E2),1,0)</x:f>
        <x:v>0</x:v>
      </x:c>
      <x:c r="AE2" s="34" t="n">
        <x:f>IF(AND($D2&lt;=AE$1,AE$1&lt;$E2),1,0)</x:f>
        <x:v>0</x:v>
      </x:c>
      <x:c r="AF2" s="34" t="n">
        <x:f>IF(AND($D2&lt;=AF$1,AF$1&lt;$E2),1,0)</x:f>
        <x:v>0</x:v>
      </x:c>
      <x:c r="AG2" s="34" t="n">
        <x:f>IF(AND($D2&lt;=AG$1,AG$1&lt;$E2),1,0)</x:f>
        <x:v>0</x:v>
      </x:c>
      <x:c r="AH2" s="34" t="n">
        <x:f>IF(AND($D2&lt;=AH$1,AH$1&lt;$E2),1,0)</x:f>
        <x:v>0</x:v>
      </x:c>
      <x:c r="AI2" s="34" t="n">
        <x:f>IF(AND($D2&lt;=AI$1,AI$1&lt;$E2),1,0)</x:f>
        <x:v>0</x:v>
      </x:c>
      <x:c r="AJ2" s="34" t="n">
        <x:f>IF(AND($D2&lt;=AJ$1,AJ$1&lt;$E2),1,0)</x:f>
        <x:v>0</x:v>
      </x:c>
    </x:row>
    <x:row r="3" ht="25" customHeight="1">
      <x:c r="A3" s="13" t="n">
        <x:f>'Разбор'!A3</x:f>
        <x:v>2</x:v>
      </x:c>
      <x:c r="B3" s="14" t="n">
        <x:f>'Разбор'!B3</x:f>
        <x:v>6</x:v>
      </x:c>
      <x:c r="C3" s="15" t="str">
        <x:f>'Разбор'!C3</x:f>
        <x:v>0</x:v>
      </x:c>
      <x:c r="D3" s="16" t="n">
        <x:f>'Разбор'!D3</x:f>
        <x:v>0</x:v>
      </x:c>
      <x:c r="E3" s="16" t="n">
        <x:f>'Разбор'!E3</x:f>
        <x:v>6</x:v>
      </x:c>
      <x:c r="F3" s="2"/>
      <x:c r="G3" s="34" t="n">
        <x:f>IF(AND($D3&lt;=G$1,G$1&lt;$E3),1,0)</x:f>
        <x:v>1</x:v>
      </x:c>
      <x:c r="H3" s="34" t="n">
        <x:f>IF(AND($D3&lt;=H$1,H$1&lt;$E3),1,0)</x:f>
        <x:v>1</x:v>
      </x:c>
      <x:c r="I3" s="34" t="n">
        <x:f>IF(AND($D3&lt;=I$1,I$1&lt;$E3),1,0)</x:f>
        <x:v>1</x:v>
      </x:c>
      <x:c r="J3" s="34" t="n">
        <x:f>IF(AND($D3&lt;=J$1,J$1&lt;$E3),1,0)</x:f>
        <x:v>1</x:v>
      </x:c>
      <x:c r="K3" s="34" t="n">
        <x:f>IF(AND($D3&lt;=K$1,K$1&lt;$E3),1,0)</x:f>
        <x:v>1</x:v>
      </x:c>
      <x:c r="L3" s="34" t="n">
        <x:f>IF(AND($D3&lt;=L$1,L$1&lt;$E3),1,0)</x:f>
        <x:v>1</x:v>
      </x:c>
      <x:c r="M3" s="34" t="n">
        <x:f>IF(AND($D3&lt;=M$1,M$1&lt;$E3),1,0)</x:f>
        <x:v>0</x:v>
      </x:c>
      <x:c r="N3" s="34" t="n">
        <x:f>IF(AND($D3&lt;=N$1,N$1&lt;$E3),1,0)</x:f>
        <x:v>0</x:v>
      </x:c>
      <x:c r="O3" s="34" t="n">
        <x:f>IF(AND($D3&lt;=O$1,O$1&lt;$E3),1,0)</x:f>
        <x:v>0</x:v>
      </x:c>
      <x:c r="P3" s="34" t="n">
        <x:f>IF(AND($D3&lt;=P$1,P$1&lt;$E3),1,0)</x:f>
        <x:v>0</x:v>
      </x:c>
      <x:c r="Q3" s="34" t="n">
        <x:f>IF(AND($D3&lt;=Q$1,Q$1&lt;$E3),1,0)</x:f>
        <x:v>0</x:v>
      </x:c>
      <x:c r="R3" s="34" t="n">
        <x:f>IF(AND($D3&lt;=R$1,R$1&lt;$E3),1,0)</x:f>
        <x:v>0</x:v>
      </x:c>
      <x:c r="S3" s="34" t="n">
        <x:f>IF(AND($D3&lt;=S$1,S$1&lt;$E3),1,0)</x:f>
        <x:v>0</x:v>
      </x:c>
      <x:c r="T3" s="34" t="n">
        <x:f>IF(AND($D3&lt;=T$1,T$1&lt;$E3),1,0)</x:f>
        <x:v>0</x:v>
      </x:c>
      <x:c r="U3" s="34" t="n">
        <x:f>IF(AND($D3&lt;=U$1,U$1&lt;$E3),1,0)</x:f>
        <x:v>0</x:v>
      </x:c>
      <x:c r="V3" s="34" t="n">
        <x:f>IF(AND($D3&lt;=V$1,V$1&lt;$E3),1,0)</x:f>
        <x:v>0</x:v>
      </x:c>
      <x:c r="W3" s="34" t="n">
        <x:f>IF(AND($D3&lt;=W$1,W$1&lt;$E3),1,0)</x:f>
        <x:v>0</x:v>
      </x:c>
      <x:c r="X3" s="34" t="n">
        <x:f>IF(AND($D3&lt;=X$1,X$1&lt;$E3),1,0)</x:f>
        <x:v>0</x:v>
      </x:c>
      <x:c r="Y3" s="34" t="n">
        <x:f>IF(AND($D3&lt;=Y$1,Y$1&lt;$E3),1,0)</x:f>
        <x:v>0</x:v>
      </x:c>
      <x:c r="Z3" s="34" t="n">
        <x:f>IF(AND($D3&lt;=Z$1,Z$1&lt;$E3),1,0)</x:f>
        <x:v>0</x:v>
      </x:c>
      <x:c r="AA3" s="34" t="n">
        <x:f>IF(AND($D3&lt;=AA$1,AA$1&lt;$E3),1,0)</x:f>
        <x:v>0</x:v>
      </x:c>
      <x:c r="AB3" s="34" t="n">
        <x:f>IF(AND($D3&lt;=AB$1,AB$1&lt;$E3),1,0)</x:f>
        <x:v>0</x:v>
      </x:c>
      <x:c r="AC3" s="34" t="n">
        <x:f>IF(AND($D3&lt;=AC$1,AC$1&lt;$E3),1,0)</x:f>
        <x:v>0</x:v>
      </x:c>
      <x:c r="AD3" s="34" t="n">
        <x:f>IF(AND($D3&lt;=AD$1,AD$1&lt;$E3),1,0)</x:f>
        <x:v>0</x:v>
      </x:c>
      <x:c r="AE3" s="34" t="n">
        <x:f>IF(AND($D3&lt;=AE$1,AE$1&lt;$E3),1,0)</x:f>
        <x:v>0</x:v>
      </x:c>
      <x:c r="AF3" s="34" t="n">
        <x:f>IF(AND($D3&lt;=AF$1,AF$1&lt;$E3),1,0)</x:f>
        <x:v>0</x:v>
      </x:c>
      <x:c r="AG3" s="34" t="n">
        <x:f>IF(AND($D3&lt;=AG$1,AG$1&lt;$E3),1,0)</x:f>
        <x:v>0</x:v>
      </x:c>
      <x:c r="AH3" s="34" t="n">
        <x:f>IF(AND($D3&lt;=AH$1,AH$1&lt;$E3),1,0)</x:f>
        <x:v>0</x:v>
      </x:c>
      <x:c r="AI3" s="34" t="n">
        <x:f>IF(AND($D3&lt;=AI$1,AI$1&lt;$E3),1,0)</x:f>
        <x:v>0</x:v>
      </x:c>
      <x:c r="AJ3" s="34" t="n">
        <x:f>IF(AND($D3&lt;=AJ$1,AJ$1&lt;$E3),1,0)</x:f>
        <x:v>0</x:v>
      </x:c>
    </x:row>
    <x:row r="4" ht="25" customHeight="1">
      <x:c r="A4" s="13" t="n">
        <x:f>'Разбор'!A4</x:f>
        <x:v>3</x:v>
      </x:c>
      <x:c r="B4" s="14" t="n">
        <x:f>'Разбор'!B4</x:f>
        <x:v>3</x:v>
      </x:c>
      <x:c r="C4" s="15" t="str">
        <x:f>'Разбор'!C4</x:f>
        <x:v>1</x:v>
      </x:c>
      <x:c r="D4" s="16" t="n">
        <x:f>'Разбор'!D4</x:f>
        <x:v>4</x:v>
      </x:c>
      <x:c r="E4" s="16" t="n">
        <x:f>'Разбор'!E4</x:f>
        <x:v>7</x:v>
      </x:c>
      <x:c r="F4" s="2"/>
      <x:c r="G4" s="34" t="n">
        <x:f>IF(AND($D4&lt;=G$1,G$1&lt;$E4),1,0)</x:f>
        <x:v>0</x:v>
      </x:c>
      <x:c r="H4" s="34" t="n">
        <x:f>IF(AND($D4&lt;=H$1,H$1&lt;$E4),1,0)</x:f>
        <x:v>0</x:v>
      </x:c>
      <x:c r="I4" s="34" t="n">
        <x:f>IF(AND($D4&lt;=I$1,I$1&lt;$E4),1,0)</x:f>
        <x:v>0</x:v>
      </x:c>
      <x:c r="J4" s="34" t="n">
        <x:f>IF(AND($D4&lt;=J$1,J$1&lt;$E4),1,0)</x:f>
        <x:v>0</x:v>
      </x:c>
      <x:c r="K4" s="34" t="n">
        <x:f>IF(AND($D4&lt;=K$1,K$1&lt;$E4),1,0)</x:f>
        <x:v>1</x:v>
      </x:c>
      <x:c r="L4" s="34" t="n">
        <x:f>IF(AND($D4&lt;=L$1,L$1&lt;$E4),1,0)</x:f>
        <x:v>1</x:v>
      </x:c>
      <x:c r="M4" s="34" t="n">
        <x:f>IF(AND($D4&lt;=M$1,M$1&lt;$E4),1,0)</x:f>
        <x:v>1</x:v>
      </x:c>
      <x:c r="N4" s="34" t="n">
        <x:f>IF(AND($D4&lt;=N$1,N$1&lt;$E4),1,0)</x:f>
        <x:v>0</x:v>
      </x:c>
      <x:c r="O4" s="34" t="n">
        <x:f>IF(AND($D4&lt;=O$1,O$1&lt;$E4),1,0)</x:f>
        <x:v>0</x:v>
      </x:c>
      <x:c r="P4" s="34" t="n">
        <x:f>IF(AND($D4&lt;=P$1,P$1&lt;$E4),1,0)</x:f>
        <x:v>0</x:v>
      </x:c>
      <x:c r="Q4" s="34" t="n">
        <x:f>IF(AND($D4&lt;=Q$1,Q$1&lt;$E4),1,0)</x:f>
        <x:v>0</x:v>
      </x:c>
      <x:c r="R4" s="34" t="n">
        <x:f>IF(AND($D4&lt;=R$1,R$1&lt;$E4),1,0)</x:f>
        <x:v>0</x:v>
      </x:c>
      <x:c r="S4" s="34" t="n">
        <x:f>IF(AND($D4&lt;=S$1,S$1&lt;$E4),1,0)</x:f>
        <x:v>0</x:v>
      </x:c>
      <x:c r="T4" s="34" t="n">
        <x:f>IF(AND($D4&lt;=T$1,T$1&lt;$E4),1,0)</x:f>
        <x:v>0</x:v>
      </x:c>
      <x:c r="U4" s="34" t="n">
        <x:f>IF(AND($D4&lt;=U$1,U$1&lt;$E4),1,0)</x:f>
        <x:v>0</x:v>
      </x:c>
      <x:c r="V4" s="34" t="n">
        <x:f>IF(AND($D4&lt;=V$1,V$1&lt;$E4),1,0)</x:f>
        <x:v>0</x:v>
      </x:c>
      <x:c r="W4" s="34" t="n">
        <x:f>IF(AND($D4&lt;=W$1,W$1&lt;$E4),1,0)</x:f>
        <x:v>0</x:v>
      </x:c>
      <x:c r="X4" s="34" t="n">
        <x:f>IF(AND($D4&lt;=X$1,X$1&lt;$E4),1,0)</x:f>
        <x:v>0</x:v>
      </x:c>
      <x:c r="Y4" s="34" t="n">
        <x:f>IF(AND($D4&lt;=Y$1,Y$1&lt;$E4),1,0)</x:f>
        <x:v>0</x:v>
      </x:c>
      <x:c r="Z4" s="34" t="n">
        <x:f>IF(AND($D4&lt;=Z$1,Z$1&lt;$E4),1,0)</x:f>
        <x:v>0</x:v>
      </x:c>
      <x:c r="AA4" s="34" t="n">
        <x:f>IF(AND($D4&lt;=AA$1,AA$1&lt;$E4),1,0)</x:f>
        <x:v>0</x:v>
      </x:c>
      <x:c r="AB4" s="34" t="n">
        <x:f>IF(AND($D4&lt;=AB$1,AB$1&lt;$E4),1,0)</x:f>
        <x:v>0</x:v>
      </x:c>
      <x:c r="AC4" s="34" t="n">
        <x:f>IF(AND($D4&lt;=AC$1,AC$1&lt;$E4),1,0)</x:f>
        <x:v>0</x:v>
      </x:c>
      <x:c r="AD4" s="34" t="n">
        <x:f>IF(AND($D4&lt;=AD$1,AD$1&lt;$E4),1,0)</x:f>
        <x:v>0</x:v>
      </x:c>
      <x:c r="AE4" s="34" t="n">
        <x:f>IF(AND($D4&lt;=AE$1,AE$1&lt;$E4),1,0)</x:f>
        <x:v>0</x:v>
      </x:c>
      <x:c r="AF4" s="34" t="n">
        <x:f>IF(AND($D4&lt;=AF$1,AF$1&lt;$E4),1,0)</x:f>
        <x:v>0</x:v>
      </x:c>
      <x:c r="AG4" s="34" t="n">
        <x:f>IF(AND($D4&lt;=AG$1,AG$1&lt;$E4),1,0)</x:f>
        <x:v>0</x:v>
      </x:c>
      <x:c r="AH4" s="34" t="n">
        <x:f>IF(AND($D4&lt;=AH$1,AH$1&lt;$E4),1,0)</x:f>
        <x:v>0</x:v>
      </x:c>
      <x:c r="AI4" s="34" t="n">
        <x:f>IF(AND($D4&lt;=AI$1,AI$1&lt;$E4),1,0)</x:f>
        <x:v>0</x:v>
      </x:c>
      <x:c r="AJ4" s="34" t="n">
        <x:f>IF(AND($D4&lt;=AJ$1,AJ$1&lt;$E4),1,0)</x:f>
        <x:v>0</x:v>
      </x:c>
    </x:row>
    <x:row r="5" ht="25" customHeight="1">
      <x:c r="A5" s="13" t="n">
        <x:f>'Разбор'!A5</x:f>
        <x:v>4</x:v>
      </x:c>
      <x:c r="B5" s="14" t="n">
        <x:f>'Разбор'!B5</x:f>
        <x:v>2</x:v>
      </x:c>
      <x:c r="C5" s="15" t="str">
        <x:f>'Разбор'!C5</x:f>
        <x:v>1; 2</x:v>
      </x:c>
      <x:c r="D5" s="16" t="n">
        <x:f>'Разбор'!D5</x:f>
        <x:v>6</x:v>
      </x:c>
      <x:c r="E5" s="16" t="n">
        <x:f>'Разбор'!E5</x:f>
        <x:v>8</x:v>
      </x:c>
      <x:c r="F5" s="2"/>
      <x:c r="G5" s="34" t="n">
        <x:f>IF(AND($D5&lt;=G$1,G$1&lt;$E5),1,0)</x:f>
        <x:v>0</x:v>
      </x:c>
      <x:c r="H5" s="34" t="n">
        <x:f>IF(AND($D5&lt;=H$1,H$1&lt;$E5),1,0)</x:f>
        <x:v>0</x:v>
      </x:c>
      <x:c r="I5" s="34" t="n">
        <x:f>IF(AND($D5&lt;=I$1,I$1&lt;$E5),1,0)</x:f>
        <x:v>0</x:v>
      </x:c>
      <x:c r="J5" s="34" t="n">
        <x:f>IF(AND($D5&lt;=J$1,J$1&lt;$E5),1,0)</x:f>
        <x:v>0</x:v>
      </x:c>
      <x:c r="K5" s="34" t="n">
        <x:f>IF(AND($D5&lt;=K$1,K$1&lt;$E5),1,0)</x:f>
        <x:v>0</x:v>
      </x:c>
      <x:c r="L5" s="34" t="n">
        <x:f>IF(AND($D5&lt;=L$1,L$1&lt;$E5),1,0)</x:f>
        <x:v>0</x:v>
      </x:c>
      <x:c r="M5" s="34" t="n">
        <x:f>IF(AND($D5&lt;=M$1,M$1&lt;$E5),1,0)</x:f>
        <x:v>1</x:v>
      </x:c>
      <x:c r="N5" s="34" t="n">
        <x:f>IF(AND($D5&lt;=N$1,N$1&lt;$E5),1,0)</x:f>
        <x:v>1</x:v>
      </x:c>
      <x:c r="O5" s="34" t="n">
        <x:f>IF(AND($D5&lt;=O$1,O$1&lt;$E5),1,0)</x:f>
        <x:v>0</x:v>
      </x:c>
      <x:c r="P5" s="34" t="n">
        <x:f>IF(AND($D5&lt;=P$1,P$1&lt;$E5),1,0)</x:f>
        <x:v>0</x:v>
      </x:c>
      <x:c r="Q5" s="34" t="n">
        <x:f>IF(AND($D5&lt;=Q$1,Q$1&lt;$E5),1,0)</x:f>
        <x:v>0</x:v>
      </x:c>
      <x:c r="R5" s="34" t="n">
        <x:f>IF(AND($D5&lt;=R$1,R$1&lt;$E5),1,0)</x:f>
        <x:v>0</x:v>
      </x:c>
      <x:c r="S5" s="34" t="n">
        <x:f>IF(AND($D5&lt;=S$1,S$1&lt;$E5),1,0)</x:f>
        <x:v>0</x:v>
      </x:c>
      <x:c r="T5" s="34" t="n">
        <x:f>IF(AND($D5&lt;=T$1,T$1&lt;$E5),1,0)</x:f>
        <x:v>0</x:v>
      </x:c>
      <x:c r="U5" s="34" t="n">
        <x:f>IF(AND($D5&lt;=U$1,U$1&lt;$E5),1,0)</x:f>
        <x:v>0</x:v>
      </x:c>
      <x:c r="V5" s="34" t="n">
        <x:f>IF(AND($D5&lt;=V$1,V$1&lt;$E5),1,0)</x:f>
        <x:v>0</x:v>
      </x:c>
      <x:c r="W5" s="34" t="n">
        <x:f>IF(AND($D5&lt;=W$1,W$1&lt;$E5),1,0)</x:f>
        <x:v>0</x:v>
      </x:c>
      <x:c r="X5" s="34" t="n">
        <x:f>IF(AND($D5&lt;=X$1,X$1&lt;$E5),1,0)</x:f>
        <x:v>0</x:v>
      </x:c>
      <x:c r="Y5" s="34" t="n">
        <x:f>IF(AND($D5&lt;=Y$1,Y$1&lt;$E5),1,0)</x:f>
        <x:v>0</x:v>
      </x:c>
      <x:c r="Z5" s="34" t="n">
        <x:f>IF(AND($D5&lt;=Z$1,Z$1&lt;$E5),1,0)</x:f>
        <x:v>0</x:v>
      </x:c>
      <x:c r="AA5" s="34" t="n">
        <x:f>IF(AND($D5&lt;=AA$1,AA$1&lt;$E5),1,0)</x:f>
        <x:v>0</x:v>
      </x:c>
      <x:c r="AB5" s="34" t="n">
        <x:f>IF(AND($D5&lt;=AB$1,AB$1&lt;$E5),1,0)</x:f>
        <x:v>0</x:v>
      </x:c>
      <x:c r="AC5" s="34" t="n">
        <x:f>IF(AND($D5&lt;=AC$1,AC$1&lt;$E5),1,0)</x:f>
        <x:v>0</x:v>
      </x:c>
      <x:c r="AD5" s="34" t="n">
        <x:f>IF(AND($D5&lt;=AD$1,AD$1&lt;$E5),1,0)</x:f>
        <x:v>0</x:v>
      </x:c>
      <x:c r="AE5" s="34" t="n">
        <x:f>IF(AND($D5&lt;=AE$1,AE$1&lt;$E5),1,0)</x:f>
        <x:v>0</x:v>
      </x:c>
      <x:c r="AF5" s="34" t="n">
        <x:f>IF(AND($D5&lt;=AF$1,AF$1&lt;$E5),1,0)</x:f>
        <x:v>0</x:v>
      </x:c>
      <x:c r="AG5" s="34" t="n">
        <x:f>IF(AND($D5&lt;=AG$1,AG$1&lt;$E5),1,0)</x:f>
        <x:v>0</x:v>
      </x:c>
      <x:c r="AH5" s="34" t="n">
        <x:f>IF(AND($D5&lt;=AH$1,AH$1&lt;$E5),1,0)</x:f>
        <x:v>0</x:v>
      </x:c>
      <x:c r="AI5" s="34" t="n">
        <x:f>IF(AND($D5&lt;=AI$1,AI$1&lt;$E5),1,0)</x:f>
        <x:v>0</x:v>
      </x:c>
      <x:c r="AJ5" s="34" t="n">
        <x:f>IF(AND($D5&lt;=AJ$1,AJ$1&lt;$E5),1,0)</x:f>
        <x:v>0</x:v>
      </x:c>
    </x:row>
    <x:row r="6" ht="25" customHeight="1">
      <x:c r="A6" s="13" t="n">
        <x:f>'Разбор'!A6</x:f>
        <x:v>5</x:v>
      </x:c>
      <x:c r="B6" s="14" t="n">
        <x:f>'Разбор'!B6</x:f>
        <x:v>5</x:v>
      </x:c>
      <x:c r="C6" s="15" t="str">
        <x:f>'Разбор'!C6</x:f>
        <x:v>2</x:v>
      </x:c>
      <x:c r="D6" s="16" t="n">
        <x:f>'Разбор'!D6</x:f>
        <x:v>6</x:v>
      </x:c>
      <x:c r="E6" s="16" t="n">
        <x:f>'Разбор'!E6</x:f>
        <x:v>11</x:v>
      </x:c>
      <x:c r="F6" s="2"/>
      <x:c r="G6" s="34" t="n">
        <x:f>IF(AND($D6&lt;=G$1,G$1&lt;$E6),1,0)</x:f>
        <x:v>0</x:v>
      </x:c>
      <x:c r="H6" s="34" t="n">
        <x:f>IF(AND($D6&lt;=H$1,H$1&lt;$E6),1,0)</x:f>
        <x:v>0</x:v>
      </x:c>
      <x:c r="I6" s="34" t="n">
        <x:f>IF(AND($D6&lt;=I$1,I$1&lt;$E6),1,0)</x:f>
        <x:v>0</x:v>
      </x:c>
      <x:c r="J6" s="34" t="n">
        <x:f>IF(AND($D6&lt;=J$1,J$1&lt;$E6),1,0)</x:f>
        <x:v>0</x:v>
      </x:c>
      <x:c r="K6" s="34" t="n">
        <x:f>IF(AND($D6&lt;=K$1,K$1&lt;$E6),1,0)</x:f>
        <x:v>0</x:v>
      </x:c>
      <x:c r="L6" s="34" t="n">
        <x:f>IF(AND($D6&lt;=L$1,L$1&lt;$E6),1,0)</x:f>
        <x:v>0</x:v>
      </x:c>
      <x:c r="M6" s="34" t="n">
        <x:f>IF(AND($D6&lt;=M$1,M$1&lt;$E6),1,0)</x:f>
        <x:v>1</x:v>
      </x:c>
      <x:c r="N6" s="34" t="n">
        <x:f>IF(AND($D6&lt;=N$1,N$1&lt;$E6),1,0)</x:f>
        <x:v>1</x:v>
      </x:c>
      <x:c r="O6" s="34" t="n">
        <x:f>IF(AND($D6&lt;=O$1,O$1&lt;$E6),1,0)</x:f>
        <x:v>1</x:v>
      </x:c>
      <x:c r="P6" s="34" t="n">
        <x:f>IF(AND($D6&lt;=P$1,P$1&lt;$E6),1,0)</x:f>
        <x:v>1</x:v>
      </x:c>
      <x:c r="Q6" s="34" t="n">
        <x:f>IF(AND($D6&lt;=Q$1,Q$1&lt;$E6),1,0)</x:f>
        <x:v>1</x:v>
      </x:c>
      <x:c r="R6" s="34" t="n">
        <x:f>IF(AND($D6&lt;=R$1,R$1&lt;$E6),1,0)</x:f>
        <x:v>0</x:v>
      </x:c>
      <x:c r="S6" s="34" t="n">
        <x:f>IF(AND($D6&lt;=S$1,S$1&lt;$E6),1,0)</x:f>
        <x:v>0</x:v>
      </x:c>
      <x:c r="T6" s="34" t="n">
        <x:f>IF(AND($D6&lt;=T$1,T$1&lt;$E6),1,0)</x:f>
        <x:v>0</x:v>
      </x:c>
      <x:c r="U6" s="34" t="n">
        <x:f>IF(AND($D6&lt;=U$1,U$1&lt;$E6),1,0)</x:f>
        <x:v>0</x:v>
      </x:c>
      <x:c r="V6" s="34" t="n">
        <x:f>IF(AND($D6&lt;=V$1,V$1&lt;$E6),1,0)</x:f>
        <x:v>0</x:v>
      </x:c>
      <x:c r="W6" s="34" t="n">
        <x:f>IF(AND($D6&lt;=W$1,W$1&lt;$E6),1,0)</x:f>
        <x:v>0</x:v>
      </x:c>
      <x:c r="X6" s="34" t="n">
        <x:f>IF(AND($D6&lt;=X$1,X$1&lt;$E6),1,0)</x:f>
        <x:v>0</x:v>
      </x:c>
      <x:c r="Y6" s="34" t="n">
        <x:f>IF(AND($D6&lt;=Y$1,Y$1&lt;$E6),1,0)</x:f>
        <x:v>0</x:v>
      </x:c>
      <x:c r="Z6" s="34" t="n">
        <x:f>IF(AND($D6&lt;=Z$1,Z$1&lt;$E6),1,0)</x:f>
        <x:v>0</x:v>
      </x:c>
      <x:c r="AA6" s="34" t="n">
        <x:f>IF(AND($D6&lt;=AA$1,AA$1&lt;$E6),1,0)</x:f>
        <x:v>0</x:v>
      </x:c>
      <x:c r="AB6" s="34" t="n">
        <x:f>IF(AND($D6&lt;=AB$1,AB$1&lt;$E6),1,0)</x:f>
        <x:v>0</x:v>
      </x:c>
      <x:c r="AC6" s="34" t="n">
        <x:f>IF(AND($D6&lt;=AC$1,AC$1&lt;$E6),1,0)</x:f>
        <x:v>0</x:v>
      </x:c>
      <x:c r="AD6" s="34" t="n">
        <x:f>IF(AND($D6&lt;=AD$1,AD$1&lt;$E6),1,0)</x:f>
        <x:v>0</x:v>
      </x:c>
      <x:c r="AE6" s="34" t="n">
        <x:f>IF(AND($D6&lt;=AE$1,AE$1&lt;$E6),1,0)</x:f>
        <x:v>0</x:v>
      </x:c>
      <x:c r="AF6" s="34" t="n">
        <x:f>IF(AND($D6&lt;=AF$1,AF$1&lt;$E6),1,0)</x:f>
        <x:v>0</x:v>
      </x:c>
      <x:c r="AG6" s="34" t="n">
        <x:f>IF(AND($D6&lt;=AG$1,AG$1&lt;$E6),1,0)</x:f>
        <x:v>0</x:v>
      </x:c>
      <x:c r="AH6" s="34" t="n">
        <x:f>IF(AND($D6&lt;=AH$1,AH$1&lt;$E6),1,0)</x:f>
        <x:v>0</x:v>
      </x:c>
      <x:c r="AI6" s="34" t="n">
        <x:f>IF(AND($D6&lt;=AI$1,AI$1&lt;$E6),1,0)</x:f>
        <x:v>0</x:v>
      </x:c>
      <x:c r="AJ6" s="34" t="n">
        <x:f>IF(AND($D6&lt;=AJ$1,AJ$1&lt;$E6),1,0)</x:f>
        <x:v>0</x:v>
      </x:c>
    </x:row>
    <x:row r="7" ht="25" customHeight="1">
      <x:c r="A7" s="13" t="n">
        <x:f>'Разбор'!A7</x:f>
        <x:v>6</x:v>
      </x:c>
      <x:c r="B7" s="14" t="n">
        <x:f>'Разбор'!B7</x:f>
        <x:v>4</x:v>
      </x:c>
      <x:c r="C7" s="15" t="str">
        <x:f>'Разбор'!C7</x:f>
        <x:v>3; 4</x:v>
      </x:c>
      <x:c r="D7" s="16" t="n">
        <x:f>'Разбор'!D7</x:f>
        <x:v>8</x:v>
      </x:c>
      <x:c r="E7" s="16" t="n">
        <x:f>'Разбор'!E7</x:f>
        <x:v>12</x:v>
      </x:c>
      <x:c r="F7" s="2"/>
      <x:c r="G7" s="34" t="n">
        <x:f>IF(AND($D7&lt;=G$1,G$1&lt;$E7),1,0)</x:f>
        <x:v>0</x:v>
      </x:c>
      <x:c r="H7" s="34" t="n">
        <x:f>IF(AND($D7&lt;=H$1,H$1&lt;$E7),1,0)</x:f>
        <x:v>0</x:v>
      </x:c>
      <x:c r="I7" s="34" t="n">
        <x:f>IF(AND($D7&lt;=I$1,I$1&lt;$E7),1,0)</x:f>
        <x:v>0</x:v>
      </x:c>
      <x:c r="J7" s="34" t="n">
        <x:f>IF(AND($D7&lt;=J$1,J$1&lt;$E7),1,0)</x:f>
        <x:v>0</x:v>
      </x:c>
      <x:c r="K7" s="34" t="n">
        <x:f>IF(AND($D7&lt;=K$1,K$1&lt;$E7),1,0)</x:f>
        <x:v>0</x:v>
      </x:c>
      <x:c r="L7" s="34" t="n">
        <x:f>IF(AND($D7&lt;=L$1,L$1&lt;$E7),1,0)</x:f>
        <x:v>0</x:v>
      </x:c>
      <x:c r="M7" s="34" t="n">
        <x:f>IF(AND($D7&lt;=M$1,M$1&lt;$E7),1,0)</x:f>
        <x:v>0</x:v>
      </x:c>
      <x:c r="N7" s="34" t="n">
        <x:f>IF(AND($D7&lt;=N$1,N$1&lt;$E7),1,0)</x:f>
        <x:v>0</x:v>
      </x:c>
      <x:c r="O7" s="34" t="n">
        <x:f>IF(AND($D7&lt;=O$1,O$1&lt;$E7),1,0)</x:f>
        <x:v>1</x:v>
      </x:c>
      <x:c r="P7" s="34" t="n">
        <x:f>IF(AND($D7&lt;=P$1,P$1&lt;$E7),1,0)</x:f>
        <x:v>1</x:v>
      </x:c>
      <x:c r="Q7" s="34" t="n">
        <x:f>IF(AND($D7&lt;=Q$1,Q$1&lt;$E7),1,0)</x:f>
        <x:v>1</x:v>
      </x:c>
      <x:c r="R7" s="34" t="n">
        <x:f>IF(AND($D7&lt;=R$1,R$1&lt;$E7),1,0)</x:f>
        <x:v>1</x:v>
      </x:c>
      <x:c r="S7" s="34" t="n">
        <x:f>IF(AND($D7&lt;=S$1,S$1&lt;$E7),1,0)</x:f>
        <x:v>0</x:v>
      </x:c>
      <x:c r="T7" s="34" t="n">
        <x:f>IF(AND($D7&lt;=T$1,T$1&lt;$E7),1,0)</x:f>
        <x:v>0</x:v>
      </x:c>
      <x:c r="U7" s="34" t="n">
        <x:f>IF(AND($D7&lt;=U$1,U$1&lt;$E7),1,0)</x:f>
        <x:v>0</x:v>
      </x:c>
      <x:c r="V7" s="34" t="n">
        <x:f>IF(AND($D7&lt;=V$1,V$1&lt;$E7),1,0)</x:f>
        <x:v>0</x:v>
      </x:c>
      <x:c r="W7" s="34" t="n">
        <x:f>IF(AND($D7&lt;=W$1,W$1&lt;$E7),1,0)</x:f>
        <x:v>0</x:v>
      </x:c>
      <x:c r="X7" s="34" t="n">
        <x:f>IF(AND($D7&lt;=X$1,X$1&lt;$E7),1,0)</x:f>
        <x:v>0</x:v>
      </x:c>
      <x:c r="Y7" s="34" t="n">
        <x:f>IF(AND($D7&lt;=Y$1,Y$1&lt;$E7),1,0)</x:f>
        <x:v>0</x:v>
      </x:c>
      <x:c r="Z7" s="34" t="n">
        <x:f>IF(AND($D7&lt;=Z$1,Z$1&lt;$E7),1,0)</x:f>
        <x:v>0</x:v>
      </x:c>
      <x:c r="AA7" s="34" t="n">
        <x:f>IF(AND($D7&lt;=AA$1,AA$1&lt;$E7),1,0)</x:f>
        <x:v>0</x:v>
      </x:c>
      <x:c r="AB7" s="34" t="n">
        <x:f>IF(AND($D7&lt;=AB$1,AB$1&lt;$E7),1,0)</x:f>
        <x:v>0</x:v>
      </x:c>
      <x:c r="AC7" s="34" t="n">
        <x:f>IF(AND($D7&lt;=AC$1,AC$1&lt;$E7),1,0)</x:f>
        <x:v>0</x:v>
      </x:c>
      <x:c r="AD7" s="34" t="n">
        <x:f>IF(AND($D7&lt;=AD$1,AD$1&lt;$E7),1,0)</x:f>
        <x:v>0</x:v>
      </x:c>
      <x:c r="AE7" s="34" t="n">
        <x:f>IF(AND($D7&lt;=AE$1,AE$1&lt;$E7),1,0)</x:f>
        <x:v>0</x:v>
      </x:c>
      <x:c r="AF7" s="34" t="n">
        <x:f>IF(AND($D7&lt;=AF$1,AF$1&lt;$E7),1,0)</x:f>
        <x:v>0</x:v>
      </x:c>
      <x:c r="AG7" s="34" t="n">
        <x:f>IF(AND($D7&lt;=AG$1,AG$1&lt;$E7),1,0)</x:f>
        <x:v>0</x:v>
      </x:c>
      <x:c r="AH7" s="34" t="n">
        <x:f>IF(AND($D7&lt;=AH$1,AH$1&lt;$E7),1,0)</x:f>
        <x:v>0</x:v>
      </x:c>
      <x:c r="AI7" s="34" t="n">
        <x:f>IF(AND($D7&lt;=AI$1,AI$1&lt;$E7),1,0)</x:f>
        <x:v>0</x:v>
      </x:c>
      <x:c r="AJ7" s="34" t="n">
        <x:f>IF(AND($D7&lt;=AJ$1,AJ$1&lt;$E7),1,0)</x:f>
        <x:v>0</x:v>
      </x:c>
    </x:row>
    <x:row r="8" ht="25" customHeight="1">
      <x:c r="A8" s="13" t="n">
        <x:f>'Разбор'!A8</x:f>
        <x:v>7</x:v>
      </x:c>
      <x:c r="B8" s="14" t="n">
        <x:f>'Разбор'!B8</x:f>
        <x:v>2</x:v>
      </x:c>
      <x:c r="C8" s="15" t="str">
        <x:f>'Разбор'!C8</x:f>
        <x:v>4; 5</x:v>
      </x:c>
      <x:c r="D8" s="16" t="n">
        <x:f>'Разбор'!D8</x:f>
        <x:v>11</x:v>
      </x:c>
      <x:c r="E8" s="16" t="n">
        <x:f>'Разбор'!E8</x:f>
        <x:v>13</x:v>
      </x:c>
      <x:c r="F8" s="2"/>
      <x:c r="G8" s="34" t="n">
        <x:f>IF(AND($D8&lt;=G$1,G$1&lt;$E8),1,0)</x:f>
        <x:v>0</x:v>
      </x:c>
      <x:c r="H8" s="34" t="n">
        <x:f>IF(AND($D8&lt;=H$1,H$1&lt;$E8),1,0)</x:f>
        <x:v>0</x:v>
      </x:c>
      <x:c r="I8" s="34" t="n">
        <x:f>IF(AND($D8&lt;=I$1,I$1&lt;$E8),1,0)</x:f>
        <x:v>0</x:v>
      </x:c>
      <x:c r="J8" s="34" t="n">
        <x:f>IF(AND($D8&lt;=J$1,J$1&lt;$E8),1,0)</x:f>
        <x:v>0</x:v>
      </x:c>
      <x:c r="K8" s="34" t="n">
        <x:f>IF(AND($D8&lt;=K$1,K$1&lt;$E8),1,0)</x:f>
        <x:v>0</x:v>
      </x:c>
      <x:c r="L8" s="34" t="n">
        <x:f>IF(AND($D8&lt;=L$1,L$1&lt;$E8),1,0)</x:f>
        <x:v>0</x:v>
      </x:c>
      <x:c r="M8" s="34" t="n">
        <x:f>IF(AND($D8&lt;=M$1,M$1&lt;$E8),1,0)</x:f>
        <x:v>0</x:v>
      </x:c>
      <x:c r="N8" s="34" t="n">
        <x:f>IF(AND($D8&lt;=N$1,N$1&lt;$E8),1,0)</x:f>
        <x:v>0</x:v>
      </x:c>
      <x:c r="O8" s="34" t="n">
        <x:f>IF(AND($D8&lt;=O$1,O$1&lt;$E8),1,0)</x:f>
        <x:v>0</x:v>
      </x:c>
      <x:c r="P8" s="34" t="n">
        <x:f>IF(AND($D8&lt;=P$1,P$1&lt;$E8),1,0)</x:f>
        <x:v>0</x:v>
      </x:c>
      <x:c r="Q8" s="34" t="n">
        <x:f>IF(AND($D8&lt;=Q$1,Q$1&lt;$E8),1,0)</x:f>
        <x:v>0</x:v>
      </x:c>
      <x:c r="R8" s="34" t="n">
        <x:f>IF(AND($D8&lt;=R$1,R$1&lt;$E8),1,0)</x:f>
        <x:v>1</x:v>
      </x:c>
      <x:c r="S8" s="34" t="n">
        <x:f>IF(AND($D8&lt;=S$1,S$1&lt;$E8),1,0)</x:f>
        <x:v>1</x:v>
      </x:c>
      <x:c r="T8" s="34" t="n">
        <x:f>IF(AND($D8&lt;=T$1,T$1&lt;$E8),1,0)</x:f>
        <x:v>0</x:v>
      </x:c>
      <x:c r="U8" s="34" t="n">
        <x:f>IF(AND($D8&lt;=U$1,U$1&lt;$E8),1,0)</x:f>
        <x:v>0</x:v>
      </x:c>
      <x:c r="V8" s="34" t="n">
        <x:f>IF(AND($D8&lt;=V$1,V$1&lt;$E8),1,0)</x:f>
        <x:v>0</x:v>
      </x:c>
      <x:c r="W8" s="34" t="n">
        <x:f>IF(AND($D8&lt;=W$1,W$1&lt;$E8),1,0)</x:f>
        <x:v>0</x:v>
      </x:c>
      <x:c r="X8" s="34" t="n">
        <x:f>IF(AND($D8&lt;=X$1,X$1&lt;$E8),1,0)</x:f>
        <x:v>0</x:v>
      </x:c>
      <x:c r="Y8" s="34" t="n">
        <x:f>IF(AND($D8&lt;=Y$1,Y$1&lt;$E8),1,0)</x:f>
        <x:v>0</x:v>
      </x:c>
      <x:c r="Z8" s="34" t="n">
        <x:f>IF(AND($D8&lt;=Z$1,Z$1&lt;$E8),1,0)</x:f>
        <x:v>0</x:v>
      </x:c>
      <x:c r="AA8" s="34" t="n">
        <x:f>IF(AND($D8&lt;=AA$1,AA$1&lt;$E8),1,0)</x:f>
        <x:v>0</x:v>
      </x:c>
      <x:c r="AB8" s="34" t="n">
        <x:f>IF(AND($D8&lt;=AB$1,AB$1&lt;$E8),1,0)</x:f>
        <x:v>0</x:v>
      </x:c>
      <x:c r="AC8" s="34" t="n">
        <x:f>IF(AND($D8&lt;=AC$1,AC$1&lt;$E8),1,0)</x:f>
        <x:v>0</x:v>
      </x:c>
      <x:c r="AD8" s="34" t="n">
        <x:f>IF(AND($D8&lt;=AD$1,AD$1&lt;$E8),1,0)</x:f>
        <x:v>0</x:v>
      </x:c>
      <x:c r="AE8" s="34" t="n">
        <x:f>IF(AND($D8&lt;=AE$1,AE$1&lt;$E8),1,0)</x:f>
        <x:v>0</x:v>
      </x:c>
      <x:c r="AF8" s="34" t="n">
        <x:f>IF(AND($D8&lt;=AF$1,AF$1&lt;$E8),1,0)</x:f>
        <x:v>0</x:v>
      </x:c>
      <x:c r="AG8" s="34" t="n">
        <x:f>IF(AND($D8&lt;=AG$1,AG$1&lt;$E8),1,0)</x:f>
        <x:v>0</x:v>
      </x:c>
      <x:c r="AH8" s="34" t="n">
        <x:f>IF(AND($D8&lt;=AH$1,AH$1&lt;$E8),1,0)</x:f>
        <x:v>0</x:v>
      </x:c>
      <x:c r="AI8" s="34" t="n">
        <x:f>IF(AND($D8&lt;=AI$1,AI$1&lt;$E8),1,0)</x:f>
        <x:v>0</x:v>
      </x:c>
      <x:c r="AJ8" s="34" t="n">
        <x:f>IF(AND($D8&lt;=AJ$1,AJ$1&lt;$E8),1,0)</x:f>
        <x:v>0</x:v>
      </x:c>
    </x:row>
    <x:row r="9" ht="25" customHeight="1">
      <x:c r="A9" s="13" t="n">
        <x:f>'Разбор'!A9</x:f>
        <x:v>8</x:v>
      </x:c>
      <x:c r="B9" s="14" t="n">
        <x:f>'Разбор'!B9</x:f>
        <x:v>1</x:v>
      </x:c>
      <x:c r="C9" s="15" t="str">
        <x:f>'Разбор'!C9</x:f>
        <x:v>6; 7</x:v>
      </x:c>
      <x:c r="D9" s="16" t="n">
        <x:f>'Разбор'!D9</x:f>
        <x:v>13</x:v>
      </x:c>
      <x:c r="E9" s="16" t="n">
        <x:f>'Разбор'!E9</x:f>
        <x:v>14</x:v>
      </x:c>
      <x:c r="F9" s="2"/>
      <x:c r="G9" s="34" t="n">
        <x:f>IF(AND($D9&lt;=G$1,G$1&lt;$E9),1,0)</x:f>
        <x:v>0</x:v>
      </x:c>
      <x:c r="H9" s="34" t="n">
        <x:f>IF(AND($D9&lt;=H$1,H$1&lt;$E9),1,0)</x:f>
        <x:v>0</x:v>
      </x:c>
      <x:c r="I9" s="34" t="n">
        <x:f>IF(AND($D9&lt;=I$1,I$1&lt;$E9),1,0)</x:f>
        <x:v>0</x:v>
      </x:c>
      <x:c r="J9" s="34" t="n">
        <x:f>IF(AND($D9&lt;=J$1,J$1&lt;$E9),1,0)</x:f>
        <x:v>0</x:v>
      </x:c>
      <x:c r="K9" s="34" t="n">
        <x:f>IF(AND($D9&lt;=K$1,K$1&lt;$E9),1,0)</x:f>
        <x:v>0</x:v>
      </x:c>
      <x:c r="L9" s="34" t="n">
        <x:f>IF(AND($D9&lt;=L$1,L$1&lt;$E9),1,0)</x:f>
        <x:v>0</x:v>
      </x:c>
      <x:c r="M9" s="34" t="n">
        <x:f>IF(AND($D9&lt;=M$1,M$1&lt;$E9),1,0)</x:f>
        <x:v>0</x:v>
      </x:c>
      <x:c r="N9" s="34" t="n">
        <x:f>IF(AND($D9&lt;=N$1,N$1&lt;$E9),1,0)</x:f>
        <x:v>0</x:v>
      </x:c>
      <x:c r="O9" s="34" t="n">
        <x:f>IF(AND($D9&lt;=O$1,O$1&lt;$E9),1,0)</x:f>
        <x:v>0</x:v>
      </x:c>
      <x:c r="P9" s="34" t="n">
        <x:f>IF(AND($D9&lt;=P$1,P$1&lt;$E9),1,0)</x:f>
        <x:v>0</x:v>
      </x:c>
      <x:c r="Q9" s="34" t="n">
        <x:f>IF(AND($D9&lt;=Q$1,Q$1&lt;$E9),1,0)</x:f>
        <x:v>0</x:v>
      </x:c>
      <x:c r="R9" s="34" t="n">
        <x:f>IF(AND($D9&lt;=R$1,R$1&lt;$E9),1,0)</x:f>
        <x:v>0</x:v>
      </x:c>
      <x:c r="S9" s="34" t="n">
        <x:f>IF(AND($D9&lt;=S$1,S$1&lt;$E9),1,0)</x:f>
        <x:v>0</x:v>
      </x:c>
      <x:c r="T9" s="34" t="n">
        <x:f>IF(AND($D9&lt;=T$1,T$1&lt;$E9),1,0)</x:f>
        <x:v>1</x:v>
      </x:c>
      <x:c r="U9" s="34" t="n">
        <x:f>IF(AND($D9&lt;=U$1,U$1&lt;$E9),1,0)</x:f>
        <x:v>0</x:v>
      </x:c>
      <x:c r="V9" s="34" t="n">
        <x:f>IF(AND($D9&lt;=V$1,V$1&lt;$E9),1,0)</x:f>
        <x:v>0</x:v>
      </x:c>
      <x:c r="W9" s="34" t="n">
        <x:f>IF(AND($D9&lt;=W$1,W$1&lt;$E9),1,0)</x:f>
        <x:v>0</x:v>
      </x:c>
      <x:c r="X9" s="34" t="n">
        <x:f>IF(AND($D9&lt;=X$1,X$1&lt;$E9),1,0)</x:f>
        <x:v>0</x:v>
      </x:c>
      <x:c r="Y9" s="34" t="n">
        <x:f>IF(AND($D9&lt;=Y$1,Y$1&lt;$E9),1,0)</x:f>
        <x:v>0</x:v>
      </x:c>
      <x:c r="Z9" s="34" t="n">
        <x:f>IF(AND($D9&lt;=Z$1,Z$1&lt;$E9),1,0)</x:f>
        <x:v>0</x:v>
      </x:c>
      <x:c r="AA9" s="34" t="n">
        <x:f>IF(AND($D9&lt;=AA$1,AA$1&lt;$E9),1,0)</x:f>
        <x:v>0</x:v>
      </x:c>
      <x:c r="AB9" s="34" t="n">
        <x:f>IF(AND($D9&lt;=AB$1,AB$1&lt;$E9),1,0)</x:f>
        <x:v>0</x:v>
      </x:c>
      <x:c r="AC9" s="34" t="n">
        <x:f>IF(AND($D9&lt;=AC$1,AC$1&lt;$E9),1,0)</x:f>
        <x:v>0</x:v>
      </x:c>
      <x:c r="AD9" s="34" t="n">
        <x:f>IF(AND($D9&lt;=AD$1,AD$1&lt;$E9),1,0)</x:f>
        <x:v>0</x:v>
      </x:c>
      <x:c r="AE9" s="34" t="n">
        <x:f>IF(AND($D9&lt;=AE$1,AE$1&lt;$E9),1,0)</x:f>
        <x:v>0</x:v>
      </x:c>
      <x:c r="AF9" s="34" t="n">
        <x:f>IF(AND($D9&lt;=AF$1,AF$1&lt;$E9),1,0)</x:f>
        <x:v>0</x:v>
      </x:c>
      <x:c r="AG9" s="34" t="n">
        <x:f>IF(AND($D9&lt;=AG$1,AG$1&lt;$E9),1,0)</x:f>
        <x:v>0</x:v>
      </x:c>
      <x:c r="AH9" s="34" t="n">
        <x:f>IF(AND($D9&lt;=AH$1,AH$1&lt;$E9),1,0)</x:f>
        <x:v>0</x:v>
      </x:c>
      <x:c r="AI9" s="34" t="n">
        <x:f>IF(AND($D9&lt;=AI$1,AI$1&lt;$E9),1,0)</x:f>
        <x:v>0</x:v>
      </x:c>
      <x:c r="AJ9" s="34" t="n">
        <x:f>IF(AND($D9&lt;=AJ$1,AJ$1&lt;$E9),1,0)</x:f>
        <x:v>0</x:v>
      </x:c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</x:row>
    <x:row r="11" ht="25" customHeight="1">
      <x:c r="A11" s="2"/>
      <x:c r="B11" s="2"/>
      <x:c r="C11" s="2" t="str">
        <x:v>Активны</x:v>
      </x:c>
      <x:c r="D11" s="2"/>
      <x:c r="E11" s="2"/>
      <x:c r="F11" s="2"/>
      <x:c r="G11" s="35" t="n">
        <x:f>SUM(G2:G9)</x:f>
        <x:v>2</x:v>
      </x:c>
      <x:c r="H11" s="35" t="n">
        <x:f>SUM(H2:H9)</x:f>
        <x:v>2</x:v>
      </x:c>
      <x:c r="I11" s="35" t="n">
        <x:f>SUM(I2:I9)</x:f>
        <x:v>2</x:v>
      </x:c>
      <x:c r="J11" s="35" t="n">
        <x:f>SUM(J2:J9)</x:f>
        <x:v>2</x:v>
      </x:c>
      <x:c r="K11" s="35" t="n">
        <x:f>SUM(K2:K9)</x:f>
        <x:v>2</x:v>
      </x:c>
      <x:c r="L11" s="35" t="n">
        <x:f>SUM(L2:L9)</x:f>
        <x:v>2</x:v>
      </x:c>
      <x:c r="M11" s="35" t="n">
        <x:f>SUM(M2:M9)</x:f>
        <x:v>3</x:v>
      </x:c>
      <x:c r="N11" s="35" t="n">
        <x:f>SUM(N2:N9)</x:f>
        <x:v>2</x:v>
      </x:c>
      <x:c r="O11" s="35" t="n">
        <x:f>SUM(O2:O9)</x:f>
        <x:v>2</x:v>
      </x:c>
      <x:c r="P11" s="35" t="n">
        <x:f>SUM(P2:P9)</x:f>
        <x:v>2</x:v>
      </x:c>
      <x:c r="Q11" s="35" t="n">
        <x:f>SUM(Q2:Q9)</x:f>
        <x:v>2</x:v>
      </x:c>
      <x:c r="R11" s="35" t="n">
        <x:f>SUM(R2:R9)</x:f>
        <x:v>2</x:v>
      </x:c>
      <x:c r="S11" s="35" t="n">
        <x:f>SUM(S2:S9)</x:f>
        <x:v>1</x:v>
      </x:c>
      <x:c r="T11" s="35" t="n">
        <x:f>SUM(T2:T9)</x:f>
        <x:v>1</x:v>
      </x:c>
      <x:c r="U11" s="35" t="n">
        <x:f>SUM(U2:U9)</x:f>
        <x:v>0</x:v>
      </x:c>
      <x:c r="V11" s="35" t="n">
        <x:f>SUM(V2:V9)</x:f>
        <x:v>0</x:v>
      </x:c>
      <x:c r="W11" s="35" t="n">
        <x:f>SUM(W2:W9)</x:f>
        <x:v>0</x:v>
      </x:c>
      <x:c r="X11" s="35" t="n">
        <x:f>SUM(X2:X9)</x:f>
        <x:v>0</x:v>
      </x:c>
      <x:c r="Y11" s="35" t="n">
        <x:f>SUM(Y2:Y9)</x:f>
        <x:v>0</x:v>
      </x:c>
      <x:c r="Z11" s="35" t="n">
        <x:f>SUM(Z2:Z9)</x:f>
        <x:v>0</x:v>
      </x:c>
      <x:c r="AA11" s="35" t="n">
        <x:f>SUM(AA2:AA9)</x:f>
        <x:v>0</x:v>
      </x:c>
      <x:c r="AB11" s="35" t="n">
        <x:f>SUM(AB2:AB9)</x:f>
        <x:v>0</x:v>
      </x:c>
      <x:c r="AC11" s="35" t="n">
        <x:f>SUM(AC2:AC9)</x:f>
        <x:v>0</x:v>
      </x:c>
      <x:c r="AD11" s="35" t="n">
        <x:f>SUM(AD2:AD9)</x:f>
        <x:v>0</x:v>
      </x:c>
      <x:c r="AE11" s="35" t="n">
        <x:f>SUM(AE2:AE9)</x:f>
        <x:v>0</x:v>
      </x:c>
      <x:c r="AF11" s="35" t="n">
        <x:f>SUM(AF2:AF9)</x:f>
        <x:v>0</x:v>
      </x:c>
      <x:c r="AG11" s="35" t="n">
        <x:f>SUM(AG2:AG9)</x:f>
        <x:v>0</x:v>
      </x:c>
      <x:c r="AH11" s="35" t="n">
        <x:f>SUM(AH2:AH9)</x:f>
        <x:v>0</x:v>
      </x:c>
      <x:c r="AI11" s="35" t="n">
        <x:f>SUM(AI2:AI9)</x:f>
        <x:v>0</x:v>
      </x:c>
      <x:c r="AJ11" s="35" t="n">
        <x:f>SUM(AJ2:AJ9)</x:f>
        <x:v>0</x:v>
      </x:c>
    </x:row>
    <x:row r="12" ht="25" customHeight="1">
      <x:c r="A12" s="2"/>
      <x:c r="B12" s="2"/>
      <x:c r="C12" s="2" t="str">
        <x:v>Серия при максимуме</x:v>
      </x:c>
      <x:c r="D12" s="2"/>
      <x:c r="E12" s="2"/>
      <x:c r="F12" s="2"/>
      <x:c r="G12" s="10" t="n">
        <x:f>IF(G11=$E$14,1,0)</x:f>
        <x:v>0</x:v>
      </x:c>
      <x:c r="H12" s="10" t="n">
        <x:f>IF(H11=$E$14,1+G12,0)</x:f>
        <x:v>0</x:v>
      </x:c>
      <x:c r="I12" s="10" t="n">
        <x:f>IF(I11=$E$14,1+H12,0)</x:f>
        <x:v>0</x:v>
      </x:c>
      <x:c r="J12" s="10" t="n">
        <x:f>IF(J11=$E$14,1+I12,0)</x:f>
        <x:v>0</x:v>
      </x:c>
      <x:c r="K12" s="10" t="n">
        <x:f>IF(K11=$E$14,1+J12,0)</x:f>
        <x:v>0</x:v>
      </x:c>
      <x:c r="L12" s="10" t="n">
        <x:f>IF(L11=$E$14,1+K12,0)</x:f>
        <x:v>0</x:v>
      </x:c>
      <x:c r="M12" s="10" t="n">
        <x:f>IF(M11=$E$14,1+L12,0)</x:f>
        <x:v>1</x:v>
      </x:c>
      <x:c r="N12" s="10" t="n">
        <x:f>IF(N11=$E$14,1+M12,0)</x:f>
        <x:v>0</x:v>
      </x:c>
      <x:c r="O12" s="10" t="n">
        <x:f>IF(O11=$E$14,1+N12,0)</x:f>
        <x:v>0</x:v>
      </x:c>
      <x:c r="P12" s="10" t="n">
        <x:f>IF(P11=$E$14,1+O12,0)</x:f>
        <x:v>0</x:v>
      </x:c>
      <x:c r="Q12" s="10" t="n">
        <x:f>IF(Q11=$E$14,1+P12,0)</x:f>
        <x:v>0</x:v>
      </x:c>
      <x:c r="R12" s="10" t="n">
        <x:f>IF(R11=$E$14,1+Q12,0)</x:f>
        <x:v>0</x:v>
      </x:c>
      <x:c r="S12" s="10" t="n">
        <x:f>IF(S11=$E$14,1+R12,0)</x:f>
        <x:v>0</x:v>
      </x:c>
      <x:c r="T12" s="10" t="n">
        <x:f>IF(T11=$E$14,1+S12,0)</x:f>
        <x:v>0</x:v>
      </x:c>
      <x:c r="U12" s="10" t="n">
        <x:f>IF(U11=$E$14,1+T12,0)</x:f>
        <x:v>0</x:v>
      </x:c>
      <x:c r="V12" s="10" t="n">
        <x:f>IF(V11=$E$14,1+U12,0)</x:f>
        <x:v>0</x:v>
      </x:c>
      <x:c r="W12" s="10" t="n">
        <x:f>IF(W11=$E$14,1+V12,0)</x:f>
        <x:v>0</x:v>
      </x:c>
      <x:c r="X12" s="10" t="n">
        <x:f>IF(X11=$E$14,1+W12,0)</x:f>
        <x:v>0</x:v>
      </x:c>
      <x:c r="Y12" s="10" t="n">
        <x:f>IF(Y11=$E$14,1+X12,0)</x:f>
        <x:v>0</x:v>
      </x:c>
      <x:c r="Z12" s="10" t="n">
        <x:f>IF(Z11=$E$14,1+Y12,0)</x:f>
        <x:v>0</x:v>
      </x:c>
      <x:c r="AA12" s="10" t="n">
        <x:f>IF(AA11=$E$14,1+Z12,0)</x:f>
        <x:v>0</x:v>
      </x:c>
      <x:c r="AB12" s="10" t="n">
        <x:f>IF(AB11=$E$14,1+AA12,0)</x:f>
        <x:v>0</x:v>
      </x:c>
      <x:c r="AC12" s="10" t="n">
        <x:f>IF(AC11=$E$14,1+AB12,0)</x:f>
        <x:v>0</x:v>
      </x:c>
      <x:c r="AD12" s="10" t="n">
        <x:f>IF(AD11=$E$14,1+AC12,0)</x:f>
        <x:v>0</x:v>
      </x:c>
      <x:c r="AE12" s="10" t="n">
        <x:f>IF(AE11=$E$14,1+AD12,0)</x:f>
        <x:v>0</x:v>
      </x:c>
      <x:c r="AF12" s="10" t="n">
        <x:f>IF(AF11=$E$14,1+AE12,0)</x:f>
        <x:v>0</x:v>
      </x:c>
      <x:c r="AG12" s="10" t="n">
        <x:f>IF(AG11=$E$14,1+AF12,0)</x:f>
        <x:v>0</x:v>
      </x:c>
      <x:c r="AH12" s="10" t="n">
        <x:f>IF(AH11=$E$14,1+AG12,0)</x:f>
        <x:v>0</x:v>
      </x:c>
      <x:c r="AI12" s="10" t="n">
        <x:f>IF(AI11=$E$14,1+AH12,0)</x:f>
        <x:v>0</x:v>
      </x:c>
      <x:c r="AJ12" s="10" t="n">
        <x:f>IF(AJ11=$E$14,1+AI12,0)</x:f>
        <x:v>0</x:v>
      </x:c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</x:row>
    <x:row r="14" ht="25" customHeight="1">
      <x:c r="A14" s="2" t="str">
        <x:v>t, мс</x:v>
      </x:c>
      <x:c r="B14" s="11" t="n">
        <x:v>7</x:v>
      </x:c>
      <x:c r="C14" s="2" t="str">
        <x:v>Максимум процессов</x:v>
      </x:c>
      <x:c r="D14" s="2"/>
      <x:c r="E14" s="2" t="n">
        <x:f>MAX(G11:AJ11)</x:f>
        <x:v>3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</x:row>
    <x:row r="15" ht="25" customHeight="1">
      <x:c r="A15" s="2"/>
      <x:c r="B15" s="2"/>
      <x:c r="C15" s="2" t="str">
        <x:v>Самый длинный отрезок</x:v>
      </x:c>
      <x:c r="D15" s="2"/>
      <x:c r="E15" s="2" t="n">
        <x:f>MAX(G12:AJ12)</x:f>
        <x:v>1</x:v>
      </x:c>
      <x:c r="F15" s="2"/>
      <x:c r="G15" s="2" t="str">
        <x:v>Каждая колонка — промежуток [t; t+1). При t = окончанию процесс уже не работает.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</x:row>
    <x:row r="16" ht="25" customHeight="1">
      <x:c r="A16" s="2"/>
      <x:c r="B16" s="2"/>
      <x:c r="C16" s="2" t="str">
        <x:v>Активны в момент t</x:v>
      </x:c>
      <x:c r="D16" s="2"/>
      <x:c r="E16" s="2" t="n">
        <x:f>COUNTIFS(D2:D9,"&lt;="&amp;B14,E2:E9,"&gt;"&amp;B14)</x:f>
        <x:v>2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</x:row>
    <x:row r="17" ht="25" customHeight="1">
      <x:c r="A17" s="2"/>
      <x:c r="B17" s="2"/>
      <x:c r="C17" s="2" t="str">
        <x:v>Завершены к t</x:v>
      </x:c>
      <x:c r="D17" s="2"/>
      <x:c r="E17" s="2" t="n">
        <x:f>COUNTIFS(E2:E9,"&lt;="&amp;B14)</x:f>
        <x:v>3</x:v>
      </x:c>
      <x:c r="F17" s="2"/>
      <x:c r="G17" s="2" t="str">
        <x:v>Строка 12 считает длину текущей непрерывной серии, когда число активных процессов максимально.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</x:row>
    <x:row r="18" ht="25" customHeight="1">
      <x:c r="A18" s="2"/>
      <x:c r="B18" s="2"/>
      <x:c r="C18" s="2" t="str">
        <x:v>Сумма работ, мс</x:v>
      </x:c>
      <x:c r="D18" s="2"/>
      <x:c r="E18" s="2" t="n">
        <x:f>SUM(G11:AJ11)</x:f>
        <x:v>27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</x:row>
    <x:row r="19" ht="25" customHeight="1">
      <x:c r="A19" s="2"/>
      <x:c r="B19" s="2"/>
      <x:c r="C19" s="2" t="str">
        <x:v>Горизонт 30 мс</x:v>
      </x:c>
      <x:c r="D19" s="2"/>
      <x:c r="E19" s="2" t="str">
        <x:f>IF(MAX(E2:E9)&lt;=30,"Достаточен","Продлите шкалу")</x:f>
        <x:v>Достаточен</x:v>
      </x:c>
      <x:c r="F19" s="2"/>
      <x:c r="G19" s="2" t="str">
        <x:v>Для исходных данных максимум — 3 процесса на [6;7), длительность — 1 мс.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</x:row>
    <x:row r="22" ht="25" customHeight="1">
      <x:c r="A22" s="4" t="str">
        <x:v>1 в сетке означает, что процесс работает весь промежуток [t; t+1). Сумма строк даёт число активных процессов.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4"/>
    </x:row>
    <x:row r="23" ht="2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4"/>
    </x:row>
    <x:row r="24" ht="25" customHeight="1">
      <x:c r="A24" s="4" t="str">
        <x:v>При увеличении общего времени свыше 30 мс продлите числовую шкалу и формулы вправо.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  <x:c r="AI24" s="4"/>
      <x:c r="AJ24" s="4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</x:row>
  </x:sheetData>
  <x:conditionalFormatting sqref="G2:AJ9">
    <x:cfRule type="cellIs" dxfId="0" priority="1" operator="equal">
      <x:formula>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7" hidden="0" customWidth="1"/>
    <x:col min="3" max="3" width="22" hidden="0" customWidth="1"/>
    <x:col min="4" max="4" width="17" hidden="0" customWidth="1"/>
    <x:col min="5" max="5" width="18" hidden="0" customWidth="1"/>
    <x:col min="6" max="6" width="3" hidden="0" customWidth="1"/>
    <x:col min="7" max="7" width="59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8" customHeight="1">
      <x:c r="A1" s="9" t="str">
        <x:v>ID</x:v>
      </x:c>
      <x:c r="B1" s="9" t="str">
        <x:v>Длительность, мс</x:v>
      </x:c>
      <x:c r="C1" s="9" t="str">
        <x:v>Зависит от ID</x:v>
      </x:c>
      <x:c r="D1" s="9" t="str">
        <x:v>Начало, мс</x:v>
      </x:c>
      <x:c r="E1" s="9" t="str">
        <x:v>Окончание, мс</x:v>
      </x:c>
      <x:c r="F1" s="2"/>
      <x:c r="G1" s="18" t="str">
        <x:v>Неизвестная длительность процесса 6</x:v>
      </x:c>
      <x:c r="H1" s="4"/>
      <x:c r="I1" s="5"/>
      <x:c r="J1" s="5"/>
      <x:c r="K1" s="5"/>
      <x:c r="L1" s="5"/>
    </x:row>
    <x:row r="2" ht="25" customHeight="1">
      <x:c r="A2" s="13" t="n">
        <x:v>1</x:v>
      </x:c>
      <x:c r="B2" s="36" t="n">
        <x:f>'Разбор'!B2</x:f>
        <x:v>4</x:v>
      </x:c>
      <x:c r="C2" s="15" t="str">
        <x:v>0</x:v>
      </x:c>
      <x:c r="D2" s="16" t="n">
        <x:f>0</x:f>
        <x:v>0</x:v>
      </x:c>
      <x:c r="E2" s="16" t="n">
        <x:f>D2+B2</x:f>
        <x:v>4</x:v>
      </x:c>
      <x:c r="F2" s="2"/>
      <x:c r="G2" s="2"/>
      <x:c r="H2" s="2"/>
    </x:row>
    <x:row r="3" ht="25" customHeight="1">
      <x:c r="A3" s="13" t="n">
        <x:v>2</x:v>
      </x:c>
      <x:c r="B3" s="36" t="n">
        <x:f>'Разбор'!B3</x:f>
        <x:v>6</x:v>
      </x:c>
      <x:c r="C3" s="15" t="str">
        <x:v>0</x:v>
      </x:c>
      <x:c r="D3" s="16" t="n">
        <x:f>0</x:f>
        <x:v>0</x:v>
      </x:c>
      <x:c r="E3" s="16" t="n">
        <x:f>D3+B3</x:f>
        <x:v>6</x:v>
      </x:c>
      <x:c r="F3" s="2"/>
      <x:c r="G3" s="2" t="str">
        <x:v>Искомое общее время, мс</x:v>
      </x:c>
      <x:c r="H3" s="11" t="n">
        <x:v>16</x:v>
      </x:c>
    </x:row>
    <x:row r="4" ht="25" customHeight="1">
      <x:c r="A4" s="13" t="n">
        <x:v>3</x:v>
      </x:c>
      <x:c r="B4" s="36" t="n">
        <x:f>'Разбор'!B4</x:f>
        <x:v>3</x:v>
      </x:c>
      <x:c r="C4" s="15" t="str">
        <x:v>1</x:v>
      </x:c>
      <x:c r="D4" s="16" t="n">
        <x:f>MAX(E2)</x:f>
        <x:v>4</x:v>
      </x:c>
      <x:c r="E4" s="16" t="n">
        <x:f>D4+B4</x:f>
        <x:v>7</x:v>
      </x:c>
      <x:c r="F4" s="2"/>
      <x:c r="G4" s="2"/>
      <x:c r="H4" s="2"/>
    </x:row>
    <x:row r="5" ht="25" customHeight="1">
      <x:c r="A5" s="13" t="n">
        <x:v>4</x:v>
      </x:c>
      <x:c r="B5" s="36" t="n">
        <x:f>'Разбор'!B5</x:f>
        <x:v>2</x:v>
      </x:c>
      <x:c r="C5" s="15" t="str">
        <x:v>1; 2</x:v>
      </x:c>
      <x:c r="D5" s="16" t="n">
        <x:f>MAX(E2,E3)</x:f>
        <x:v>6</x:v>
      </x:c>
      <x:c r="E5" s="16" t="n">
        <x:f>D5+B5</x:f>
        <x:v>8</x:v>
      </x:c>
      <x:c r="F5" s="2"/>
      <x:c r="G5" s="2" t="str">
        <x:v>Текущее значение x находится в B7.</x:v>
      </x:c>
      <x:c r="H5" s="2"/>
    </x:row>
    <x:row r="6" ht="25" customHeight="1">
      <x:c r="A6" s="13" t="n">
        <x:v>5</x:v>
      </x:c>
      <x:c r="B6" s="36" t="n">
        <x:f>'Разбор'!B6</x:f>
        <x:v>5</x:v>
      </x:c>
      <x:c r="C6" s="15" t="str">
        <x:v>2</x:v>
      </x:c>
      <x:c r="D6" s="16" t="n">
        <x:f>MAX(E3)</x:f>
        <x:v>6</x:v>
      </x:c>
      <x:c r="E6" s="16" t="n">
        <x:f>D6+B6</x:f>
        <x:v>11</x:v>
      </x:c>
      <x:c r="F6" s="2"/>
      <x:c r="G6" s="2"/>
      <x:c r="H6" s="2"/>
    </x:row>
    <x:row r="7" ht="45" customHeight="1">
      <x:c r="A7" s="13" t="n">
        <x:v>6</x:v>
      </x:c>
      <x:c r="B7" s="14" t="n">
        <x:v>4</x:v>
      </x:c>
      <x:c r="C7" s="15" t="str">
        <x:v>3; 4</x:v>
      </x:c>
      <x:c r="D7" s="16" t="n">
        <x:f>MAX(E4,E5)</x:f>
        <x:v>8</x:v>
      </x:c>
      <x:c r="E7" s="16" t="n">
        <x:f>D7+B7</x:f>
        <x:v>12</x:v>
      </x:c>
      <x:c r="F7" s="2"/>
      <x:c r="G7" s="19" t="str">
        <x:v>При исходных длительностях начало процесса 6 равно 8, окончание процесса 7 равно 13.</x:v>
      </x:c>
      <x:c r="H7" s="2"/>
    </x:row>
    <x:row r="8" ht="25" customHeight="1">
      <x:c r="A8" s="13" t="n">
        <x:v>7</x:v>
      </x:c>
      <x:c r="B8" s="36" t="n">
        <x:f>'Разбор'!B8</x:f>
        <x:v>2</x:v>
      </x:c>
      <x:c r="C8" s="15" t="str">
        <x:v>4; 5</x:v>
      </x:c>
      <x:c r="D8" s="16" t="n">
        <x:f>MAX(E5,E6)</x:f>
        <x:v>11</x:v>
      </x:c>
      <x:c r="E8" s="16" t="n">
        <x:f>D8+B8</x:f>
        <x:v>13</x:v>
      </x:c>
      <x:c r="F8" s="2"/>
      <x:c r="G8" s="2"/>
      <x:c r="H8" s="2"/>
    </x:row>
    <x:row r="9" ht="25" customHeight="1">
      <x:c r="A9" s="13" t="n">
        <x:v>8</x:v>
      </x:c>
      <x:c r="B9" s="36" t="n">
        <x:f>'Разбор'!B9</x:f>
        <x:v>1</x:v>
      </x:c>
      <x:c r="C9" s="15" t="str">
        <x:v>6; 7</x:v>
      </x:c>
      <x:c r="D9" s="16" t="n">
        <x:f>MAX(E7,E8)</x:f>
        <x:v>13</x:v>
      </x:c>
      <x:c r="E9" s="16" t="n">
        <x:f>D9+B9</x:f>
        <x:v>14</x:v>
      </x:c>
      <x:c r="F9" s="2"/>
      <x:c r="G9" s="2" t="str">
        <x:v>Общее время = MAX(8+x;13)+1 = MAX(9+x;14).</x:v>
      </x:c>
      <x:c r="H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</x:row>
    <x:row r="11" ht="42" customHeight="1">
      <x:c r="A11" s="2"/>
      <x:c r="B11" s="2"/>
      <x:c r="C11" s="17" t="str">
        <x:v>Все готовы, мс</x:v>
      </x:c>
      <x:c r="D11" s="17"/>
      <x:c r="E11" s="17" t="n">
        <x:f>MAX(E2:E9)</x:f>
        <x:v>14</x:v>
      </x:c>
      <x:c r="F11" s="2"/>
      <x:c r="G11" s="19" t="str">
        <x:v>Для общего времени 16 нужен x = 7. Для времени 14 подходят x от 1 до 5.</x:v>
      </x:c>
      <x:c r="H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</x:row>
    <x:row r="14" ht="38" customHeight="1">
      <x:c r="A14" s="9" t="str">
        <x:v>Кандидат x, мс</x:v>
      </x:c>
      <x:c r="B14" s="9" t="str">
        <x:v>Общее время, мс</x:v>
      </x:c>
      <x:c r="C14" s="9" t="str">
        <x:v>Подходит к H3</x:v>
      </x:c>
      <x:c r="D14" s="2"/>
      <x:c r="E14" s="2"/>
      <x:c r="F14" s="2"/>
      <x:c r="G14" s="2"/>
      <x:c r="H14" s="2"/>
    </x:row>
    <x:row r="15" ht="25" customHeight="1">
      <x:c r="A15" s="2" t="n">
        <x:v>1</x:v>
      </x:c>
      <x:c r="B15" s="2" t="n">
        <x:f>MAX($D$7+A15,$E$8)+$B$9</x:f>
        <x:v>14</x:v>
      </x:c>
      <x:c r="C15" s="10" t="str">
        <x:f>IF(B15=$H$3,"Да","")</x:f>
      </x:c>
      <x:c r="D15" s="2"/>
      <x:c r="E15" s="2"/>
      <x:c r="F15" s="2"/>
      <x:c r="G15" s="2"/>
      <x:c r="H15" s="2"/>
    </x:row>
    <x:row r="16" ht="62" customHeight="1">
      <x:c r="A16" s="2" t="n">
        <x:v>2</x:v>
      </x:c>
      <x:c r="B16" s="2" t="n">
        <x:f>MAX($D$7+A16,$E$8)+$B$9</x:f>
        <x:v>14</x:v>
      </x:c>
      <x:c r="C16" s="10" t="str">
        <x:f>IF(B16=$H$3,"Да","")</x:f>
      </x:c>
      <x:c r="D16" s="2"/>
      <x:c r="E16" s="2"/>
      <x:c r="F16" s="2"/>
      <x:c r="G16" s="19" t="str">
        <x:v>Перебор справа в формулах опирается на расчёт начала процесса 6 и окончания процесса 7. Все остальные длительности берутся с листа Разбор.</x:v>
      </x:c>
      <x:c r="H16" s="2"/>
    </x:row>
    <x:row r="17" ht="25" customHeight="1">
      <x:c r="A17" s="2" t="n">
        <x:v>3</x:v>
      </x:c>
      <x:c r="B17" s="2" t="n">
        <x:f>MAX($D$7+A17,$E$8)+$B$9</x:f>
        <x:v>14</x:v>
      </x:c>
      <x:c r="C17" s="10" t="str">
        <x:f>IF(B17=$H$3,"Да","")</x:f>
      </x:c>
      <x:c r="D17" s="2"/>
      <x:c r="E17" s="2"/>
      <x:c r="F17" s="2"/>
      <x:c r="G17" s="2"/>
      <x:c r="H17" s="2"/>
    </x:row>
    <x:row r="18" ht="25" customHeight="1">
      <x:c r="A18" s="2" t="n">
        <x:v>4</x:v>
      </x:c>
      <x:c r="B18" s="2" t="n">
        <x:f>MAX($D$7+A18,$E$8)+$B$9</x:f>
        <x:v>14</x:v>
      </x:c>
      <x:c r="C18" s="10" t="str">
        <x:f>IF(B18=$H$3,"Да","")</x:f>
      </x:c>
      <x:c r="D18" s="2"/>
      <x:c r="E18" s="2"/>
      <x:c r="F18" s="2"/>
      <x:c r="G18" s="2"/>
      <x:c r="H18" s="2"/>
    </x:row>
    <x:row r="19" ht="62" customHeight="1">
      <x:c r="A19" s="2" t="n">
        <x:v>5</x:v>
      </x:c>
      <x:c r="B19" s="2" t="n">
        <x:f>MAX($D$7+A19,$E$8)+$B$9</x:f>
        <x:v>14</x:v>
      </x:c>
      <x:c r="C19" s="10" t="str">
        <x:f>IF(B19=$H$3,"Да","")</x:f>
      </x:c>
      <x:c r="D19" s="2"/>
      <x:c r="E19" s="2"/>
      <x:c r="F19" s="2"/>
      <x:c r="G19" s="19" t="str">
        <x:v>Проверьте цели 13, 14 и 16 в H3. Для 13 нет положительного кандидата, для 14 их пять, для 16 — один.</x:v>
      </x:c>
      <x:c r="H19" s="2"/>
    </x:row>
    <x:row r="20" ht="25" customHeight="1">
      <x:c r="A20" s="2" t="n">
        <x:v>6</x:v>
      </x:c>
      <x:c r="B20" s="2" t="n">
        <x:f>MAX($D$7+A20,$E$8)+$B$9</x:f>
        <x:v>15</x:v>
      </x:c>
      <x:c r="C20" s="10" t="str">
        <x:f>IF(B20=$H$3,"Да","")</x:f>
      </x:c>
      <x:c r="D20" s="2"/>
      <x:c r="E20" s="2"/>
      <x:c r="F20" s="2"/>
      <x:c r="G20" s="2"/>
      <x:c r="H20" s="2"/>
    </x:row>
    <x:row r="21" ht="25" customHeight="1">
      <x:c r="A21" s="2" t="n">
        <x:v>7</x:v>
      </x:c>
      <x:c r="B21" s="2" t="n">
        <x:f>MAX($D$7+A21,$E$8)+$B$9</x:f>
        <x:v>16</x:v>
      </x:c>
      <x:c r="C21" s="10" t="str">
        <x:f>IF(B21=$H$3,"Да","")</x:f>
        <x:v>Да</x:v>
      </x:c>
      <x:c r="D21" s="2"/>
      <x:c r="E21" s="2"/>
      <x:c r="F21" s="2"/>
      <x:c r="G21" s="2"/>
      <x:c r="H21" s="2"/>
    </x:row>
    <x:row r="22" ht="25" customHeight="1">
      <x:c r="A22" s="2" t="n">
        <x:v>8</x:v>
      </x:c>
      <x:c r="B22" s="2" t="n">
        <x:f>MAX($D$7+A22,$E$8)+$B$9</x:f>
        <x:v>17</x:v>
      </x:c>
      <x:c r="C22" s="10" t="str">
        <x:f>IF(B22=$H$3,"Да","")</x:f>
      </x:c>
      <x:c r="D22" s="2"/>
      <x:c r="E22" s="2"/>
      <x:c r="F22" s="2"/>
      <x:c r="G22" s="2"/>
      <x:c r="H22" s="2"/>
    </x:row>
    <x:row r="23" ht="25" customHeight="1">
      <x:c r="A23" s="2" t="n">
        <x:v>9</x:v>
      </x:c>
      <x:c r="B23" s="2" t="n">
        <x:f>MAX($D$7+A23,$E$8)+$B$9</x:f>
        <x:v>18</x:v>
      </x:c>
      <x:c r="C23" s="10" t="str">
        <x:f>IF(B23=$H$3,"Да","")</x:f>
      </x:c>
      <x:c r="D23" s="2"/>
      <x:c r="E23" s="2"/>
      <x:c r="F23" s="2"/>
      <x:c r="G23" s="2"/>
      <x:c r="H23" s="2"/>
    </x:row>
    <x:row r="24" ht="25" customHeight="1">
      <x:c r="A24" s="2" t="n">
        <x:v>10</x:v>
      </x:c>
      <x:c r="B24" s="2" t="n">
        <x:f>MAX($D$7+A24,$E$8)+$B$9</x:f>
        <x:v>19</x:v>
      </x:c>
      <x:c r="C24" s="10" t="str">
        <x:f>IF(B24=$H$3,"Да","")</x:f>
      </x:c>
      <x:c r="D24" s="2"/>
      <x:c r="E24" s="2"/>
      <x:c r="F24" s="2"/>
      <x:c r="G24" s="2"/>
      <x:c r="H24" s="2"/>
    </x:row>
    <x:row r="25" ht="25" customHeight="1">
      <x:c r="A25" s="2" t="n">
        <x:v>11</x:v>
      </x:c>
      <x:c r="B25" s="2" t="n">
        <x:f>MAX($D$7+A25,$E$8)+$B$9</x:f>
        <x:v>20</x:v>
      </x:c>
      <x:c r="C25" s="10" t="str">
        <x:f>IF(B25=$H$3,"Да","")</x:f>
      </x:c>
      <x:c r="D25" s="2"/>
      <x:c r="E25" s="2"/>
      <x:c r="F25" s="2"/>
      <x:c r="G25" s="2"/>
      <x:c r="H25" s="2"/>
    </x:row>
    <x:row r="26" ht="25" customHeight="1">
      <x:c r="A26" s="2" t="n">
        <x:v>12</x:v>
      </x:c>
      <x:c r="B26" s="2" t="n">
        <x:f>MAX($D$7+A26,$E$8)+$B$9</x:f>
        <x:v>21</x:v>
      </x:c>
      <x:c r="C26" s="10" t="str">
        <x:f>IF(B26=$H$3,"Да","")</x:f>
      </x:c>
      <x:c r="D26" s="2"/>
      <x:c r="E26" s="2"/>
      <x:c r="F26" s="2"/>
      <x:c r="G26" s="2"/>
      <x:c r="H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</x:row>
  </x:sheetData>
  <x:conditionalFormatting sqref="A15:C26">
    <x:cfRule type="expression" dxfId="1" priority="1">
      <x:formula>$C15="Да"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7" hidden="0" customWidth="1"/>
    <x:col min="3" max="3" width="22" hidden="0" customWidth="1"/>
    <x:col min="4" max="4" width="17" hidden="0" customWidth="1"/>
    <x:col min="5" max="5" width="18" hidden="0" customWidth="1"/>
    <x:col min="6" max="6" width="3" hidden="0" customWidth="1"/>
    <x:col min="7" max="7" width="50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</x:cols>
  <x:sheetData>
    <x:row r="1" ht="38" customHeight="1">
      <x:c r="A1" s="9" t="str">
        <x:v>ID</x:v>
      </x:c>
      <x:c r="B1" s="9" t="str">
        <x:v>Длительность, мс</x:v>
      </x:c>
      <x:c r="C1" s="9" t="str">
        <x:v>Зависит от ID</x:v>
      </x:c>
      <x:c r="D1" s="9" t="str">
        <x:v>Начало, мс</x:v>
      </x:c>
      <x:c r="E1" s="9" t="str">
        <x:v>Окончание, мс</x:v>
      </x:c>
      <x:c r="F1" s="2"/>
      <x:c r="G1" s="4"/>
      <x:c r="H1" s="9" t="n">
        <x:v>0</x:v>
      </x:c>
      <x:c r="I1" s="9" t="n">
        <x:v>1</x:v>
      </x:c>
      <x:c r="J1" s="9" t="n">
        <x:v>2</x:v>
      </x:c>
      <x:c r="K1" s="9" t="n">
        <x:v>3</x:v>
      </x:c>
      <x:c r="L1" s="9" t="n">
        <x:v>4</x:v>
      </x:c>
      <x:c r="M1" s="9" t="n">
        <x:v>5</x:v>
      </x:c>
      <x:c r="N1" s="9" t="n">
        <x:v>6</x:v>
      </x:c>
      <x:c r="O1" s="9" t="n">
        <x:v>7</x:v>
      </x:c>
      <x:c r="P1" s="9" t="n">
        <x:v>8</x:v>
      </x:c>
      <x:c r="Q1" s="9" t="n">
        <x:v>9</x:v>
      </x:c>
    </x:row>
    <x:row r="2" ht="25" customHeight="1">
      <x:c r="A2" s="13" t="n">
        <x:v>1</x:v>
      </x:c>
      <x:c r="B2" s="14" t="n">
        <x:v>4</x:v>
      </x:c>
      <x:c r="C2" s="15" t="str">
        <x:v>0</x:v>
      </x:c>
      <x:c r="D2" s="14" t="n">
        <x:v>0</x:v>
      </x:c>
      <x:c r="E2" s="16" t="n">
        <x:f>D2+B2</x:f>
        <x:v>4</x:v>
      </x:c>
      <x:c r="F2" s="2"/>
      <x:c r="G2" s="2"/>
      <x:c r="H2" s="33" t="n">
        <x:f>IF(AND($D2&lt;=H$1,H$1&lt;$E2),1,0)</x:f>
        <x:v>1</x:v>
      </x:c>
      <x:c r="I2" s="33" t="n">
        <x:f>IF(AND($D2&lt;=I$1,I$1&lt;$E2),1,0)</x:f>
        <x:v>1</x:v>
      </x:c>
      <x:c r="J2" s="33" t="n">
        <x:f>IF(AND($D2&lt;=J$1,J$1&lt;$E2),1,0)</x:f>
        <x:v>1</x:v>
      </x:c>
      <x:c r="K2" s="33" t="n">
        <x:f>IF(AND($D2&lt;=K$1,K$1&lt;$E2),1,0)</x:f>
        <x:v>1</x:v>
      </x:c>
      <x:c r="L2" s="33" t="n">
        <x:f>IF(AND($D2&lt;=L$1,L$1&lt;$E2),1,0)</x:f>
        <x:v>0</x:v>
      </x:c>
      <x:c r="M2" s="33" t="n">
        <x:f>IF(AND($D2&lt;=M$1,M$1&lt;$E2),1,0)</x:f>
        <x:v>0</x:v>
      </x:c>
      <x:c r="N2" s="33" t="n">
        <x:f>IF(AND($D2&lt;=N$1,N$1&lt;$E2),1,0)</x:f>
        <x:v>0</x:v>
      </x:c>
      <x:c r="O2" s="33" t="n">
        <x:f>IF(AND($D2&lt;=O$1,O$1&lt;$E2),1,0)</x:f>
        <x:v>0</x:v>
      </x:c>
      <x:c r="P2" s="33" t="n">
        <x:f>IF(AND($D2&lt;=P$1,P$1&lt;$E2),1,0)</x:f>
        <x:v>0</x:v>
      </x:c>
      <x:c r="Q2" s="33" t="n">
        <x:f>IF(AND($D2&lt;=Q$1,Q$1&lt;$E2),1,0)</x:f>
        <x:v>0</x:v>
      </x:c>
    </x:row>
    <x:row r="3" ht="25" customHeight="1">
      <x:c r="A3" s="13" t="n">
        <x:v>2</x:v>
      </x:c>
      <x:c r="B3" s="14" t="n">
        <x:v>4</x:v>
      </x:c>
      <x:c r="C3" s="15" t="str">
        <x:v>0</x:v>
      </x:c>
      <x:c r="D3" s="16" t="n">
        <x:f>0</x:f>
        <x:v>0</x:v>
      </x:c>
      <x:c r="E3" s="16" t="n">
        <x:f>D3+B3</x:f>
        <x:v>4</x:v>
      </x:c>
      <x:c r="F3" s="2"/>
      <x:c r="G3" s="2"/>
      <x:c r="H3" s="33" t="n">
        <x:f>IF(AND($D3&lt;=H$1,H$1&lt;$E3),1,0)</x:f>
        <x:v>1</x:v>
      </x:c>
      <x:c r="I3" s="33" t="n">
        <x:f>IF(AND($D3&lt;=I$1,I$1&lt;$E3),1,0)</x:f>
        <x:v>1</x:v>
      </x:c>
      <x:c r="J3" s="33" t="n">
        <x:f>IF(AND($D3&lt;=J$1,J$1&lt;$E3),1,0)</x:f>
        <x:v>1</x:v>
      </x:c>
      <x:c r="K3" s="33" t="n">
        <x:f>IF(AND($D3&lt;=K$1,K$1&lt;$E3),1,0)</x:f>
        <x:v>1</x:v>
      </x:c>
      <x:c r="L3" s="33" t="n">
        <x:f>IF(AND($D3&lt;=L$1,L$1&lt;$E3),1,0)</x:f>
        <x:v>0</x:v>
      </x:c>
      <x:c r="M3" s="33" t="n">
        <x:f>IF(AND($D3&lt;=M$1,M$1&lt;$E3),1,0)</x:f>
        <x:v>0</x:v>
      </x:c>
      <x:c r="N3" s="33" t="n">
        <x:f>IF(AND($D3&lt;=N$1,N$1&lt;$E3),1,0)</x:f>
        <x:v>0</x:v>
      </x:c>
      <x:c r="O3" s="33" t="n">
        <x:f>IF(AND($D3&lt;=O$1,O$1&lt;$E3),1,0)</x:f>
        <x:v>0</x:v>
      </x:c>
      <x:c r="P3" s="33" t="n">
        <x:f>IF(AND($D3&lt;=P$1,P$1&lt;$E3),1,0)</x:f>
        <x:v>0</x:v>
      </x:c>
      <x:c r="Q3" s="33" t="n">
        <x:f>IF(AND($D3&lt;=Q$1,Q$1&lt;$E3),1,0)</x:f>
        <x:v>0</x:v>
      </x:c>
    </x:row>
    <x:row r="4" ht="25" customHeight="1">
      <x:c r="A4" s="13" t="n">
        <x:v>3</x:v>
      </x:c>
      <x:c r="B4" s="14" t="n">
        <x:v>2</x:v>
      </x:c>
      <x:c r="C4" s="15" t="str">
        <x:v>2</x:v>
      </x:c>
      <x:c r="D4" s="16" t="n">
        <x:f>MAX(E3)</x:f>
        <x:v>4</x:v>
      </x:c>
      <x:c r="E4" s="16" t="n">
        <x:f>D4+B4</x:f>
        <x:v>6</x:v>
      </x:c>
      <x:c r="F4" s="2"/>
      <x:c r="G4" s="2"/>
      <x:c r="H4" s="33" t="n">
        <x:f>IF(AND($D4&lt;=H$1,H$1&lt;$E4),1,0)</x:f>
        <x:v>0</x:v>
      </x:c>
      <x:c r="I4" s="33" t="n">
        <x:f>IF(AND($D4&lt;=I$1,I$1&lt;$E4),1,0)</x:f>
        <x:v>0</x:v>
      </x:c>
      <x:c r="J4" s="33" t="n">
        <x:f>IF(AND($D4&lt;=J$1,J$1&lt;$E4),1,0)</x:f>
        <x:v>0</x:v>
      </x:c>
      <x:c r="K4" s="33" t="n">
        <x:f>IF(AND($D4&lt;=K$1,K$1&lt;$E4),1,0)</x:f>
        <x:v>0</x:v>
      </x:c>
      <x:c r="L4" s="33" t="n">
        <x:f>IF(AND($D4&lt;=L$1,L$1&lt;$E4),1,0)</x:f>
        <x:v>1</x:v>
      </x:c>
      <x:c r="M4" s="33" t="n">
        <x:f>IF(AND($D4&lt;=M$1,M$1&lt;$E4),1,0)</x:f>
        <x:v>1</x:v>
      </x:c>
      <x:c r="N4" s="33" t="n">
        <x:f>IF(AND($D4&lt;=N$1,N$1&lt;$E4),1,0)</x:f>
        <x:v>0</x:v>
      </x:c>
      <x:c r="O4" s="33" t="n">
        <x:f>IF(AND($D4&lt;=O$1,O$1&lt;$E4),1,0)</x:f>
        <x:v>0</x:v>
      </x:c>
      <x:c r="P4" s="33" t="n">
        <x:f>IF(AND($D4&lt;=P$1,P$1&lt;$E4),1,0)</x:f>
        <x:v>0</x:v>
      </x:c>
      <x:c r="Q4" s="33" t="n">
        <x:f>IF(AND($D4&lt;=Q$1,Q$1&lt;$E4),1,0)</x:f>
        <x:v>0</x:v>
      </x:c>
    </x:row>
    <x:row r="5" ht="25" customHeight="1">
      <x:c r="A5" s="13" t="n">
        <x:v>4</x:v>
      </x:c>
      <x:c r="B5" s="14" t="n">
        <x:v>4</x:v>
      </x:c>
      <x:c r="C5" s="15" t="str">
        <x:v>2</x:v>
      </x:c>
      <x:c r="D5" s="16" t="n">
        <x:f>MAX(E3)</x:f>
        <x:v>4</x:v>
      </x:c>
      <x:c r="E5" s="16" t="n">
        <x:f>D5+B5</x:f>
        <x:v>8</x:v>
      </x:c>
      <x:c r="F5" s="2"/>
      <x:c r="G5" s="2"/>
      <x:c r="H5" s="33" t="n">
        <x:f>IF(AND($D5&lt;=H$1,H$1&lt;$E5),1,0)</x:f>
        <x:v>0</x:v>
      </x:c>
      <x:c r="I5" s="33" t="n">
        <x:f>IF(AND($D5&lt;=I$1,I$1&lt;$E5),1,0)</x:f>
        <x:v>0</x:v>
      </x:c>
      <x:c r="J5" s="33" t="n">
        <x:f>IF(AND($D5&lt;=J$1,J$1&lt;$E5),1,0)</x:f>
        <x:v>0</x:v>
      </x:c>
      <x:c r="K5" s="33" t="n">
        <x:f>IF(AND($D5&lt;=K$1,K$1&lt;$E5),1,0)</x:f>
        <x:v>0</x:v>
      </x:c>
      <x:c r="L5" s="33" t="n">
        <x:f>IF(AND($D5&lt;=L$1,L$1&lt;$E5),1,0)</x:f>
        <x:v>1</x:v>
      </x:c>
      <x:c r="M5" s="33" t="n">
        <x:f>IF(AND($D5&lt;=M$1,M$1&lt;$E5),1,0)</x:f>
        <x:v>1</x:v>
      </x:c>
      <x:c r="N5" s="33" t="n">
        <x:f>IF(AND($D5&lt;=N$1,N$1&lt;$E5),1,0)</x:f>
        <x:v>1</x:v>
      </x:c>
      <x:c r="O5" s="33" t="n">
        <x:f>IF(AND($D5&lt;=O$1,O$1&lt;$E5),1,0)</x:f>
        <x:v>1</x:v>
      </x:c>
      <x:c r="P5" s="33" t="n">
        <x:f>IF(AND($D5&lt;=P$1,P$1&lt;$E5),1,0)</x:f>
        <x:v>0</x:v>
      </x:c>
      <x:c r="Q5" s="33" t="n">
        <x:f>IF(AND($D5&lt;=Q$1,Q$1&lt;$E5),1,0)</x:f>
        <x:v>0</x:v>
      </x:c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5" customHeight="1">
      <x:c r="A7" s="2"/>
      <x:c r="B7" s="2"/>
      <x:c r="C7" s="17" t="str">
        <x:v>Все готовы, мс</x:v>
      </x:c>
      <x:c r="D7" s="17"/>
      <x:c r="E7" s="17" t="n">
        <x:f>MAX(E2:E5)</x:f>
        <x:v>8</x:v>
      </x:c>
      <x:c r="F7" s="2"/>
      <x:c r="G7" s="2"/>
      <x:c r="H7" s="2" t="n">
        <x:f>SUM(H2:H5)</x:f>
        <x:v>2</x:v>
      </x:c>
      <x:c r="I7" s="2" t="n">
        <x:f>SUM(I2:I5)</x:f>
        <x:v>2</x:v>
      </x:c>
      <x:c r="J7" s="2" t="n">
        <x:f>SUM(J2:J5)</x:f>
        <x:v>2</x:v>
      </x:c>
      <x:c r="K7" s="2" t="n">
        <x:f>SUM(K2:K5)</x:f>
        <x:v>2</x:v>
      </x:c>
      <x:c r="L7" s="2" t="n">
        <x:f>SUM(L2:L5)</x:f>
        <x:v>2</x:v>
      </x:c>
      <x:c r="M7" s="2" t="n">
        <x:f>SUM(M2:M5)</x:f>
        <x:v>2</x:v>
      </x:c>
      <x:c r="N7" s="2" t="n">
        <x:f>SUM(N2:N5)</x:f>
        <x:v>1</x:v>
      </x:c>
      <x:c r="O7" s="2" t="n">
        <x:f>SUM(O2:O5)</x:f>
        <x:v>1</x:v>
      </x:c>
      <x:c r="P7" s="2" t="n">
        <x:f>SUM(P2:P5)</x:f>
        <x:v>0</x:v>
      </x:c>
      <x:c r="Q7" s="2" t="n">
        <x:f>SUM(Q2:Q5)</x:f>
        <x:v>0</x:v>
      </x:c>
    </x:row>
    <x:row r="8" ht="25" customHeight="1">
      <x:c r="A8" s="2"/>
      <x:c r="B8" s="2"/>
      <x:c r="C8" s="2" t="str">
        <x:v>Пик параллельности</x:v>
      </x:c>
      <x:c r="D8" s="2"/>
      <x:c r="E8" s="2" t="n">
        <x:f>MAX(H7:Q7)</x:f>
        <x:v>2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5" customHeight="1">
      <x:c r="A9" s="2"/>
      <x:c r="B9" s="2"/>
      <x:c r="C9" s="2" t="str">
        <x:v>В пределах 8 мс</x:v>
      </x:c>
      <x:c r="D9" s="2"/>
      <x:c r="E9" s="2" t="str">
        <x:f>IF(E7&lt;=8,"Да","Нет")</x:f>
        <x:v>Да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5" customHeight="1">
      <x:c r="A12" s="4" t="str">
        <x:v>Введите 4 в D2. Общее время останется 8 мс, а максимальное число активных процессов увеличится с 2 до 3.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</x:row>
    <x:row r="13" ht="25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</x:row>
    <x:row r="14" ht="25" customHeight="1">
      <x:c r="A14" s="4" t="str">
        <x:v>Процесс 1 независимый. В этом примере условие допускает его поздний запуск. Сдвигать его можно до 4 мс без увеличения общего времени.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</x:row>
    <x:row r="15" ht="25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</x:row>
    <x:row r="16" ht="25" customHeight="1">
      <x:c r="A16" s="4" t="str">
        <x:v>Поэтому минимальное общее время само по себе не означает, что все процессы обязательно запускаются как можно раньше.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</x:row>
    <x:row r="17" ht="25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</x:row>
    <x:row r="18" ht="25" customHeight="1">
      <x:c r="A18" s="4" t="str">
        <x:v>Если условие требует запускать все независимые процессы в 0 и зависимые сразу после поставщиков, оставьте D2 равным 0.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</x:sheetData>
  <x:conditionalFormatting sqref="H2:Q5">
    <x:cfRule type="cellIs" dxfId="2" priority="1" operator="equal">
      <x:formula>1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9" hidden="0" customWidth="1"/>
    <x:col min="2" max="2" width="17" hidden="0" customWidth="1"/>
    <x:col min="3" max="3" width="22" hidden="0" customWidth="1"/>
    <x:col min="4" max="4" width="17" hidden="0" customWidth="1"/>
    <x:col min="5" max="5" width="18" hidden="0" customWidth="1"/>
    <x:col min="6" max="6" width="3" hidden="0" customWidth="1"/>
    <x:col min="7" max="7" width="6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5" customHeight="1">
      <x:c r="A1" s="18" t="str">
        <x:v>Самостоятельная практика</x:v>
      </x:c>
      <x:c r="B1" s="4"/>
      <x:c r="C1" s="4"/>
      <x:c r="D1" s="4"/>
      <x:c r="E1" s="4"/>
      <x:c r="F1" s="4"/>
      <x:c r="G1" s="4"/>
      <x:c r="H1" s="5"/>
      <x:c r="I1" s="5"/>
      <x:c r="J1" s="5"/>
      <x:c r="K1" s="5"/>
      <x:c r="L1" s="5"/>
    </x:row>
    <x:row r="2" ht="25" customHeight="1">
      <x:c r="A2" s="4" t="str">
        <x:v>Заполните голубые ячейки начала и окончания. Данные во всех примерах учебные.</x:v>
      </x:c>
      <x:c r="B2" s="4"/>
      <x:c r="C2" s="4"/>
      <x:c r="D2" s="4"/>
      <x:c r="E2" s="4"/>
      <x:c r="F2" s="4"/>
      <x:c r="G2" s="4"/>
    </x:row>
    <x:row r="3" ht="25" customHeight="1">
      <x:c r="A3" s="2"/>
      <x:c r="B3" s="2"/>
      <x:c r="C3" s="2"/>
      <x:c r="D3" s="2"/>
      <x:c r="E3" s="2"/>
      <x:c r="F3" s="2"/>
      <x:c r="G3" s="2"/>
    </x:row>
    <x:row r="4" ht="64" customHeight="1">
      <x:c r="A4" s="38" t="str">
        <x:v>1. Ожидание двух результатов</x:v>
      </x:c>
      <x:c r="B4" s="2"/>
      <x:c r="C4" s="2"/>
      <x:c r="D4" s="2"/>
      <x:c r="E4" s="2"/>
      <x:c r="F4" s="2"/>
      <x:c r="G4" s="19" t="str">
        <x:v>Найдите начало процесса 3 и минимальное время выполнения всех процессов.</x:v>
      </x:c>
    </x:row>
    <x:row r="5" ht="25" customHeight="1">
      <x:c r="A5" s="2"/>
      <x:c r="B5" s="2"/>
      <x:c r="C5" s="2"/>
      <x:c r="D5" s="2"/>
      <x:c r="E5" s="2"/>
      <x:c r="F5" s="2"/>
      <x:c r="G5" s="2"/>
    </x:row>
    <x:row r="6" ht="38" customHeight="1">
      <x:c r="A6" s="9" t="str">
        <x:v>ID</x:v>
      </x:c>
      <x:c r="B6" s="9" t="str">
        <x:v>Длительность, мс</x:v>
      </x:c>
      <x:c r="C6" s="9" t="str">
        <x:v>Зависит от ID</x:v>
      </x:c>
      <x:c r="D6" s="9" t="str">
        <x:v>Начало, мс</x:v>
      </x:c>
      <x:c r="E6" s="9" t="str">
        <x:v>Окончание, мс</x:v>
      </x:c>
      <x:c r="F6" s="2"/>
      <x:c r="G6" s="2"/>
    </x:row>
    <x:row r="7" ht="25" customHeight="1">
      <x:c r="A7" s="13" t="n">
        <x:v>1</x:v>
      </x:c>
      <x:c r="B7" s="14" t="n">
        <x:v>4</x:v>
      </x:c>
      <x:c r="C7" s="15" t="str">
        <x:v>0</x:v>
      </x:c>
      <x:c r="D7" s="16"/>
      <x:c r="E7" s="16"/>
      <x:c r="F7" s="2"/>
      <x:c r="G7" s="2"/>
    </x:row>
    <x:row r="8" ht="25" customHeight="1">
      <x:c r="A8" s="13" t="n">
        <x:v>2</x:v>
      </x:c>
      <x:c r="B8" s="14" t="n">
        <x:v>7</x:v>
      </x:c>
      <x:c r="C8" s="15" t="str">
        <x:v>0</x:v>
      </x:c>
      <x:c r="D8" s="16"/>
      <x:c r="E8" s="16"/>
      <x:c r="F8" s="2"/>
      <x:c r="G8" s="2"/>
    </x:row>
    <x:row r="9" ht="25" customHeight="1">
      <x:c r="A9" s="13" t="n">
        <x:v>3</x:v>
      </x:c>
      <x:c r="B9" s="14" t="n">
        <x:v>2</x:v>
      </x:c>
      <x:c r="C9" s="15" t="str">
        <x:v>1; 2</x:v>
      </x:c>
      <x:c r="D9" s="16"/>
      <x:c r="E9" s="16"/>
      <x:c r="F9" s="2"/>
      <x:c r="G9" s="2"/>
    </x:row>
    <x:row r="10" ht="25" customHeight="1">
      <x:c r="A10" s="13" t="n">
        <x:v>4</x:v>
      </x:c>
      <x:c r="B10" s="14" t="n">
        <x:v>3</x:v>
      </x:c>
      <x:c r="C10" s="15" t="str">
        <x:v>3</x:v>
      </x:c>
      <x:c r="D10" s="16"/>
      <x:c r="E10" s="16"/>
      <x:c r="F10" s="2"/>
      <x:c r="G10" s="2"/>
    </x:row>
    <x:row r="11" ht="25" customHeight="1">
      <x:c r="A11" s="2"/>
      <x:c r="B11" s="2"/>
      <x:c r="C11" s="2"/>
      <x:c r="D11" s="2"/>
      <x:c r="E11" s="2"/>
      <x:c r="F11" s="2"/>
      <x:c r="G11" s="2"/>
    </x:row>
    <x:row r="12" ht="25" customHeight="1">
      <x:c r="A12" s="2"/>
      <x:c r="B12" s="2"/>
      <x:c r="C12" s="2"/>
      <x:c r="D12" s="2"/>
      <x:c r="E12" s="2"/>
      <x:c r="F12" s="2"/>
      <x:c r="G12" s="2"/>
    </x:row>
    <x:row r="13" ht="25" customHeight="1">
      <x:c r="A13" s="2"/>
      <x:c r="B13" s="2"/>
      <x:c r="C13" s="2"/>
      <x:c r="D13" s="2"/>
      <x:c r="E13" s="2"/>
      <x:c r="F13" s="2"/>
      <x:c r="G13" s="2"/>
    </x:row>
    <x:row r="14" ht="25" customHeight="1">
      <x:c r="A14" s="2"/>
      <x:c r="B14" s="2"/>
      <x:c r="C14" s="2"/>
      <x:c r="D14" s="2"/>
      <x:c r="E14" s="2"/>
      <x:c r="F14" s="2"/>
      <x:c r="G14" s="2"/>
    </x:row>
    <x:row r="15" ht="25" customHeight="1">
      <x:c r="A15" s="2"/>
      <x:c r="B15" s="2"/>
      <x:c r="C15" s="2"/>
      <x:c r="D15" s="2"/>
      <x:c r="E15" s="2"/>
      <x:c r="F15" s="2"/>
      <x:c r="G15" s="2"/>
    </x:row>
    <x:row r="16" ht="25" customHeight="1">
      <x:c r="A16" s="2"/>
      <x:c r="B16" s="2"/>
      <x:c r="C16" s="2"/>
      <x:c r="D16" s="2"/>
      <x:c r="E16" s="2"/>
      <x:c r="F16" s="2"/>
      <x:c r="G16" s="2"/>
    </x:row>
    <x:row r="17" ht="64" customHeight="1">
      <x:c r="A17" s="38" t="str">
        <x:v>2. ID не совпадает с порядком строк</x:v>
      </x:c>
      <x:c r="B17" s="2"/>
      <x:c r="C17" s="2"/>
      <x:c r="D17" s="2"/>
      <x:c r="E17" s="2"/>
      <x:c r="F17" s="2"/>
      <x:c r="G17" s="19" t="str">
        <x:v>Строки перепутаны. Найдите начало процесса 50 и общее время. Через ссылки можно обращаться к строкам ниже.</x:v>
      </x:c>
    </x:row>
    <x:row r="18" ht="25" customHeight="1">
      <x:c r="A18" s="2"/>
      <x:c r="B18" s="2"/>
      <x:c r="C18" s="2"/>
      <x:c r="D18" s="2"/>
      <x:c r="E18" s="2"/>
      <x:c r="F18" s="2"/>
      <x:c r="G18" s="2"/>
    </x:row>
    <x:row r="19" ht="38" customHeight="1">
      <x:c r="A19" s="9" t="str">
        <x:v>ID</x:v>
      </x:c>
      <x:c r="B19" s="9" t="str">
        <x:v>Длительность, мс</x:v>
      </x:c>
      <x:c r="C19" s="9" t="str">
        <x:v>Зависит от ID</x:v>
      </x:c>
      <x:c r="D19" s="9" t="str">
        <x:v>Начало, мс</x:v>
      </x:c>
      <x:c r="E19" s="9" t="str">
        <x:v>Окончание, мс</x:v>
      </x:c>
      <x:c r="F19" s="2"/>
      <x:c r="G19" s="2"/>
    </x:row>
    <x:row r="20" ht="25" customHeight="1">
      <x:c r="A20" s="13" t="n">
        <x:v>20</x:v>
      </x:c>
      <x:c r="B20" s="14" t="n">
        <x:v>3</x:v>
      </x:c>
      <x:c r="C20" s="15" t="str">
        <x:v>10</x:v>
      </x:c>
      <x:c r="D20" s="16"/>
      <x:c r="E20" s="16"/>
      <x:c r="F20" s="2"/>
      <x:c r="G20" s="2"/>
    </x:row>
    <x:row r="21" ht="25" customHeight="1">
      <x:c r="A21" s="13" t="n">
        <x:v>40</x:v>
      </x:c>
      <x:c r="B21" s="14" t="n">
        <x:v>4</x:v>
      </x:c>
      <x:c r="C21" s="15" t="str">
        <x:v>20</x:v>
      </x:c>
      <x:c r="D21" s="16"/>
      <x:c r="E21" s="16"/>
      <x:c r="F21" s="2"/>
      <x:c r="G21" s="2"/>
    </x:row>
    <x:row r="22" ht="25" customHeight="1">
      <x:c r="A22" s="13" t="n">
        <x:v>10</x:v>
      </x:c>
      <x:c r="B22" s="14" t="n">
        <x:v>5</x:v>
      </x:c>
      <x:c r="C22" s="15" t="str">
        <x:v>0</x:v>
      </x:c>
      <x:c r="D22" s="16"/>
      <x:c r="E22" s="16"/>
      <x:c r="F22" s="2"/>
      <x:c r="G22" s="2"/>
    </x:row>
    <x:row r="23" ht="25" customHeight="1">
      <x:c r="A23" s="13" t="n">
        <x:v>30</x:v>
      </x:c>
      <x:c r="B23" s="14" t="n">
        <x:v>8</x:v>
      </x:c>
      <x:c r="C23" s="15" t="str">
        <x:v>0</x:v>
      </x:c>
      <x:c r="D23" s="16"/>
      <x:c r="E23" s="16"/>
      <x:c r="F23" s="2"/>
      <x:c r="G23" s="2"/>
    </x:row>
    <x:row r="24" ht="25" customHeight="1">
      <x:c r="A24" s="13" t="n">
        <x:v>50</x:v>
      </x:c>
      <x:c r="B24" s="14" t="n">
        <x:v>2</x:v>
      </x:c>
      <x:c r="C24" s="15" t="str">
        <x:v>30; 40</x:v>
      </x:c>
      <x:c r="D24" s="16"/>
      <x:c r="E24" s="16"/>
      <x:c r="F24" s="2"/>
      <x:c r="G24" s="2"/>
    </x:row>
    <x:row r="25" ht="25" customHeight="1">
      <x:c r="A25" s="2"/>
      <x:c r="B25" s="2"/>
      <x:c r="C25" s="2"/>
      <x:c r="D25" s="2"/>
      <x:c r="E25" s="2"/>
      <x:c r="F25" s="2"/>
      <x:c r="G25" s="2"/>
    </x:row>
    <x:row r="26" ht="25" customHeight="1">
      <x:c r="A26" s="2"/>
      <x:c r="B26" s="2"/>
      <x:c r="C26" s="2"/>
      <x:c r="D26" s="2"/>
      <x:c r="E26" s="2"/>
      <x:c r="F26" s="2"/>
      <x:c r="G26" s="2"/>
    </x:row>
    <x:row r="27" ht="25" customHeight="1">
      <x:c r="A27" s="2"/>
      <x:c r="B27" s="2"/>
      <x:c r="C27" s="2"/>
      <x:c r="D27" s="2"/>
      <x:c r="E27" s="2"/>
      <x:c r="F27" s="2"/>
      <x:c r="G27" s="2"/>
    </x:row>
    <x:row r="28" ht="25" customHeight="1">
      <x:c r="A28" s="2"/>
      <x:c r="B28" s="2"/>
      <x:c r="C28" s="2"/>
      <x:c r="D28" s="2"/>
      <x:c r="E28" s="2"/>
      <x:c r="F28" s="2"/>
      <x:c r="G28" s="2"/>
    </x:row>
    <x:row r="29" ht="25" customHeight="1">
      <x:c r="A29" s="2"/>
      <x:c r="B29" s="2"/>
      <x:c r="C29" s="2"/>
      <x:c r="D29" s="2"/>
      <x:c r="E29" s="2"/>
      <x:c r="F29" s="2"/>
      <x:c r="G29" s="2"/>
    </x:row>
    <x:row r="30" ht="25" customHeight="1">
      <x:c r="A30" s="2"/>
      <x:c r="B30" s="2"/>
      <x:c r="C30" s="2"/>
      <x:c r="D30" s="2"/>
      <x:c r="E30" s="2"/>
      <x:c r="F30" s="2"/>
      <x:c r="G30" s="2"/>
    </x:row>
    <x:row r="31" ht="64" customHeight="1">
      <x:c r="A31" s="38" t="str">
        <x:v>3. Параллельность</x:v>
      </x:c>
      <x:c r="B31" s="2"/>
      <x:c r="C31" s="2"/>
      <x:c r="D31" s="2"/>
      <x:c r="E31" s="2"/>
      <x:c r="F31" s="2"/>
      <x:c r="G31" s="19" t="str">
        <x:v>Найдите общее время, пик параллельности, самый длинный отрезок с этим пиком и число работающих процессов в момент 7 мс.</x:v>
      </x:c>
    </x:row>
    <x:row r="32" ht="25" customHeight="1">
      <x:c r="A32" s="2"/>
      <x:c r="B32" s="2"/>
      <x:c r="C32" s="2"/>
      <x:c r="D32" s="2"/>
      <x:c r="E32" s="2"/>
      <x:c r="F32" s="2"/>
      <x:c r="G32" s="2"/>
    </x:row>
    <x:row r="33" ht="38" customHeight="1">
      <x:c r="A33" s="9" t="str">
        <x:v>ID</x:v>
      </x:c>
      <x:c r="B33" s="9" t="str">
        <x:v>Длительность, мс</x:v>
      </x:c>
      <x:c r="C33" s="9" t="str">
        <x:v>Зависит от ID</x:v>
      </x:c>
      <x:c r="D33" s="9" t="str">
        <x:v>Начало, мс</x:v>
      </x:c>
      <x:c r="E33" s="9" t="str">
        <x:v>Окончание, мс</x:v>
      </x:c>
      <x:c r="F33" s="2"/>
      <x:c r="G33" s="2"/>
    </x:row>
    <x:row r="34" ht="25" customHeight="1">
      <x:c r="A34" s="13" t="n">
        <x:v>1</x:v>
      </x:c>
      <x:c r="B34" s="14" t="n">
        <x:v>4</x:v>
      </x:c>
      <x:c r="C34" s="15" t="str">
        <x:v>0</x:v>
      </x:c>
      <x:c r="D34" s="16"/>
      <x:c r="E34" s="16"/>
      <x:c r="F34" s="2"/>
      <x:c r="G34" s="2"/>
    </x:row>
    <x:row r="35" ht="25" customHeight="1">
      <x:c r="A35" s="13" t="n">
        <x:v>2</x:v>
      </x:c>
      <x:c r="B35" s="14" t="n">
        <x:v>6</x:v>
      </x:c>
      <x:c r="C35" s="15" t="str">
        <x:v>0</x:v>
      </x:c>
      <x:c r="D35" s="16"/>
      <x:c r="E35" s="16"/>
      <x:c r="F35" s="2"/>
      <x:c r="G35" s="2"/>
    </x:row>
    <x:row r="36" ht="25" customHeight="1">
      <x:c r="A36" s="13" t="n">
        <x:v>3</x:v>
      </x:c>
      <x:c r="B36" s="14" t="n">
        <x:v>3</x:v>
      </x:c>
      <x:c r="C36" s="15" t="str">
        <x:v>1</x:v>
      </x:c>
      <x:c r="D36" s="16"/>
      <x:c r="E36" s="16"/>
      <x:c r="F36" s="2"/>
      <x:c r="G36" s="2"/>
    </x:row>
    <x:row r="37" ht="25" customHeight="1">
      <x:c r="A37" s="13" t="n">
        <x:v>4</x:v>
      </x:c>
      <x:c r="B37" s="14" t="n">
        <x:v>2</x:v>
      </x:c>
      <x:c r="C37" s="15" t="str">
        <x:v>1; 2</x:v>
      </x:c>
      <x:c r="D37" s="16"/>
      <x:c r="E37" s="16"/>
      <x:c r="F37" s="2"/>
      <x:c r="G37" s="2"/>
    </x:row>
    <x:row r="38" ht="25" customHeight="1">
      <x:c r="A38" s="13" t="n">
        <x:v>5</x:v>
      </x:c>
      <x:c r="B38" s="14" t="n">
        <x:v>5</x:v>
      </x:c>
      <x:c r="C38" s="15" t="str">
        <x:v>2</x:v>
      </x:c>
      <x:c r="D38" s="16"/>
      <x:c r="E38" s="16"/>
      <x:c r="F38" s="2"/>
      <x:c r="G38" s="2"/>
    </x:row>
    <x:row r="39" ht="25" customHeight="1">
      <x:c r="A39" s="13" t="n">
        <x:v>6</x:v>
      </x:c>
      <x:c r="B39" s="14" t="n">
        <x:v>4</x:v>
      </x:c>
      <x:c r="C39" s="15" t="str">
        <x:v>3; 4</x:v>
      </x:c>
      <x:c r="D39" s="16"/>
      <x:c r="E39" s="16"/>
      <x:c r="F39" s="2"/>
      <x:c r="G39" s="2"/>
    </x:row>
    <x:row r="40" ht="25" customHeight="1">
      <x:c r="A40" s="13" t="n">
        <x:v>7</x:v>
      </x:c>
      <x:c r="B40" s="14" t="n">
        <x:v>2</x:v>
      </x:c>
      <x:c r="C40" s="15" t="str">
        <x:v>4; 5</x:v>
      </x:c>
      <x:c r="D40" s="16"/>
      <x:c r="E40" s="16"/>
      <x:c r="F40" s="2"/>
      <x:c r="G40" s="2"/>
    </x:row>
    <x:row r="41" ht="25" customHeight="1">
      <x:c r="A41" s="13" t="n">
        <x:v>8</x:v>
      </x:c>
      <x:c r="B41" s="14" t="n">
        <x:v>1</x:v>
      </x:c>
      <x:c r="C41" s="15" t="str">
        <x:v>6; 7</x:v>
      </x:c>
      <x:c r="D41" s="16"/>
      <x:c r="E41" s="16"/>
      <x:c r="F41" s="2"/>
      <x:c r="G41" s="2"/>
    </x:row>
    <x:row r="42" ht="25" customHeight="1">
      <x:c r="A42" s="2"/>
      <x:c r="B42" s="2"/>
      <x:c r="C42" s="2"/>
      <x:c r="D42" s="2"/>
      <x:c r="E42" s="2"/>
      <x:c r="F42" s="2"/>
      <x:c r="G42" s="2"/>
    </x:row>
    <x:row r="43" ht="25" customHeight="1">
      <x:c r="A43" s="2"/>
      <x:c r="B43" s="2"/>
      <x:c r="C43" s="2"/>
      <x:c r="D43" s="2"/>
      <x:c r="E43" s="2"/>
      <x:c r="F43" s="2"/>
      <x:c r="G43" s="2"/>
    </x:row>
    <x:row r="44" ht="25" customHeight="1">
      <x:c r="A44" s="2"/>
      <x:c r="B44" s="2"/>
      <x:c r="C44" s="2"/>
      <x:c r="D44" s="2"/>
      <x:c r="E44" s="2"/>
      <x:c r="F44" s="2"/>
      <x:c r="G44" s="2"/>
    </x:row>
    <x:row r="45" ht="25" customHeight="1">
      <x:c r="A45" s="2"/>
      <x:c r="B45" s="2"/>
      <x:c r="C45" s="2"/>
      <x:c r="D45" s="2"/>
      <x:c r="E45" s="2"/>
      <x:c r="F45" s="2"/>
      <x:c r="G45" s="2"/>
    </x:row>
    <x:row r="46" ht="25" customHeight="1">
      <x:c r="A46" s="2"/>
      <x:c r="B46" s="2"/>
      <x:c r="C46" s="2"/>
      <x:c r="D46" s="2"/>
      <x:c r="E46" s="2"/>
      <x:c r="F46" s="2"/>
      <x:c r="G46" s="2"/>
    </x:row>
    <x:row r="47" ht="25" customHeight="1">
      <x:c r="A47" s="2"/>
      <x:c r="B47" s="2"/>
      <x:c r="C47" s="2"/>
      <x:c r="D47" s="2"/>
      <x:c r="E47" s="2"/>
      <x:c r="F47" s="2"/>
      <x:c r="G47" s="2"/>
    </x:row>
    <x:row r="48" ht="25" customHeight="1">
      <x:c r="A48" s="2"/>
      <x:c r="B48" s="2"/>
      <x:c r="C48" s="2"/>
      <x:c r="D48" s="2"/>
      <x:c r="E48" s="2"/>
      <x:c r="F48" s="2"/>
      <x:c r="G48" s="2"/>
    </x:row>
    <x:row r="49" ht="25" customHeight="1">
      <x:c r="A49" s="2"/>
      <x:c r="B49" s="2"/>
      <x:c r="C49" s="2"/>
      <x:c r="D49" s="2"/>
      <x:c r="E49" s="2"/>
      <x:c r="F49" s="2"/>
      <x:c r="G49" s="2"/>
    </x:row>
    <x:row r="50" ht="64" customHeight="1">
      <x:c r="A50" s="38" t="str">
        <x:v>4. Задержка передачи 2 мс</x:v>
      </x:c>
      <x:c r="B50" s="2"/>
      <x:c r="C50" s="2"/>
      <x:c r="D50" s="2"/>
      <x:c r="E50" s="2"/>
      <x:c r="F50" s="2"/>
      <x:c r="G50" s="19" t="str">
        <x:v>Каждый зависимый процесс запускается через 2 мс после готовности всех результатов. Независимые начинают в 0. Найдите начало процесса 4 и общее время.</x:v>
      </x:c>
    </x:row>
    <x:row r="51" ht="25" customHeight="1">
      <x:c r="A51" s="2"/>
      <x:c r="B51" s="2"/>
      <x:c r="C51" s="2"/>
      <x:c r="D51" s="2"/>
      <x:c r="E51" s="2"/>
      <x:c r="F51" s="2"/>
      <x:c r="G51" s="2"/>
    </x:row>
    <x:row r="52" ht="38" customHeight="1">
      <x:c r="A52" s="9" t="str">
        <x:v>ID</x:v>
      </x:c>
      <x:c r="B52" s="9" t="str">
        <x:v>Длительность, мс</x:v>
      </x:c>
      <x:c r="C52" s="9" t="str">
        <x:v>Зависит от ID</x:v>
      </x:c>
      <x:c r="D52" s="9" t="str">
        <x:v>Начало, мс</x:v>
      </x:c>
      <x:c r="E52" s="9" t="str">
        <x:v>Окончание, мс</x:v>
      </x:c>
      <x:c r="F52" s="2"/>
      <x:c r="G52" s="2"/>
    </x:row>
    <x:row r="53" ht="25" customHeight="1">
      <x:c r="A53" s="13" t="n">
        <x:v>1</x:v>
      </x:c>
      <x:c r="B53" s="14" t="n">
        <x:v>3</x:v>
      </x:c>
      <x:c r="C53" s="15" t="str">
        <x:v>0</x:v>
      </x:c>
      <x:c r="D53" s="16"/>
      <x:c r="E53" s="16"/>
      <x:c r="F53" s="2"/>
      <x:c r="G53" s="2"/>
    </x:row>
    <x:row r="54" ht="25" customHeight="1">
      <x:c r="A54" s="13" t="n">
        <x:v>2</x:v>
      </x:c>
      <x:c r="B54" s="14" t="n">
        <x:v>5</x:v>
      </x:c>
      <x:c r="C54" s="15" t="str">
        <x:v>0</x:v>
      </x:c>
      <x:c r="D54" s="16"/>
      <x:c r="E54" s="16"/>
      <x:c r="F54" s="2"/>
      <x:c r="G54" s="2"/>
    </x:row>
    <x:row r="55" ht="25" customHeight="1">
      <x:c r="A55" s="13" t="n">
        <x:v>3</x:v>
      </x:c>
      <x:c r="B55" s="14" t="n">
        <x:v>4</x:v>
      </x:c>
      <x:c r="C55" s="15" t="str">
        <x:v>1; 2</x:v>
      </x:c>
      <x:c r="D55" s="16"/>
      <x:c r="E55" s="16"/>
      <x:c r="F55" s="2"/>
      <x:c r="G55" s="2"/>
    </x:row>
    <x:row r="56" ht="25" customHeight="1">
      <x:c r="A56" s="13" t="n">
        <x:v>4</x:v>
      </x:c>
      <x:c r="B56" s="14" t="n">
        <x:v>2</x:v>
      </x:c>
      <x:c r="C56" s="15" t="str">
        <x:v>3</x:v>
      </x:c>
      <x:c r="D56" s="16"/>
      <x:c r="E56" s="16"/>
      <x:c r="F56" s="2"/>
      <x:c r="G56" s="2"/>
    </x:row>
    <x:row r="57" ht="25" customHeight="1">
      <x:c r="A57" s="2"/>
      <x:c r="B57" s="2"/>
      <x:c r="C57" s="2"/>
      <x:c r="D57" s="2"/>
      <x:c r="E57" s="2"/>
      <x:c r="F57" s="2"/>
      <x:c r="G57" s="2"/>
    </x:row>
    <x:row r="58" ht="25" customHeight="1">
      <x:c r="A58" s="2"/>
      <x:c r="B58" s="2"/>
      <x:c r="C58" s="2"/>
      <x:c r="D58" s="2"/>
      <x:c r="E58" s="2"/>
      <x:c r="F58" s="2"/>
      <x:c r="G58" s="2"/>
    </x:row>
    <x:row r="59" ht="25" customHeight="1">
      <x:c r="A59" s="2"/>
      <x:c r="B59" s="2"/>
      <x:c r="C59" s="2"/>
      <x:c r="D59" s="2"/>
      <x:c r="E59" s="2"/>
      <x:c r="F59" s="2"/>
      <x:c r="G59" s="2"/>
    </x:row>
    <x:row r="60" ht="25" customHeight="1">
      <x:c r="A60" s="2"/>
      <x:c r="B60" s="2"/>
      <x:c r="C60" s="2"/>
      <x:c r="D60" s="2"/>
      <x:c r="E60" s="2"/>
      <x:c r="F60" s="2"/>
      <x:c r="G60" s="2"/>
    </x:row>
    <x:row r="61" ht="25" customHeight="1">
      <x:c r="A61" s="2"/>
      <x:c r="B61" s="2"/>
      <x:c r="C61" s="2"/>
      <x:c r="D61" s="2"/>
      <x:c r="E61" s="2"/>
      <x:c r="F61" s="2"/>
      <x:c r="G61" s="2"/>
    </x:row>
    <x:row r="62" ht="25" customHeight="1">
      <x:c r="A62" s="2"/>
      <x:c r="B62" s="2"/>
      <x:c r="C62" s="2"/>
      <x:c r="D62" s="2"/>
      <x:c r="E62" s="2"/>
      <x:c r="F62" s="2"/>
      <x:c r="G62" s="2"/>
    </x:row>
    <x:row r="63" ht="64" customHeight="1">
      <x:c r="A63" s="38" t="str">
        <x:v>5. Неизвестная длительность</x:v>
      </x:c>
      <x:c r="B63" s="2"/>
      <x:c r="C63" s="2"/>
      <x:c r="D63" s="2"/>
      <x:c r="E63" s="2"/>
      <x:c r="F63" s="2"/>
      <x:c r="G63" s="19" t="str">
        <x:v>Длительность процесса 6 — положительное целое x. Найдите x, если общее время равно 16 мс. Затем найдите наибольшее x при общем времени 14 мс.</x:v>
      </x:c>
    </x:row>
    <x:row r="64" ht="25" customHeight="1">
      <x:c r="A64" s="2"/>
      <x:c r="B64" s="2"/>
      <x:c r="C64" s="2"/>
      <x:c r="D64" s="2"/>
      <x:c r="E64" s="2"/>
      <x:c r="F64" s="2"/>
      <x:c r="G64" s="2"/>
    </x:row>
    <x:row r="65" ht="38" customHeight="1">
      <x:c r="A65" s="9" t="str">
        <x:v>ID</x:v>
      </x:c>
      <x:c r="B65" s="9" t="str">
        <x:v>Длительность, мс</x:v>
      </x:c>
      <x:c r="C65" s="9" t="str">
        <x:v>Зависит от ID</x:v>
      </x:c>
      <x:c r="D65" s="9" t="str">
        <x:v>Начало, мс</x:v>
      </x:c>
      <x:c r="E65" s="9" t="str">
        <x:v>Окончание, мс</x:v>
      </x:c>
      <x:c r="F65" s="2"/>
      <x:c r="G65" s="2"/>
    </x:row>
    <x:row r="66" ht="25" customHeight="1">
      <x:c r="A66" s="13" t="n">
        <x:v>1</x:v>
      </x:c>
      <x:c r="B66" s="14" t="n">
        <x:v>4</x:v>
      </x:c>
      <x:c r="C66" s="15" t="str">
        <x:v>0</x:v>
      </x:c>
      <x:c r="D66" s="16"/>
      <x:c r="E66" s="16"/>
      <x:c r="F66" s="2"/>
      <x:c r="G66" s="2"/>
    </x:row>
    <x:row r="67" ht="48" customHeight="1">
      <x:c r="A67" s="13" t="n">
        <x:v>2</x:v>
      </x:c>
      <x:c r="B67" s="14" t="n">
        <x:v>6</x:v>
      </x:c>
      <x:c r="C67" s="15" t="str">
        <x:v>0</x:v>
      </x:c>
      <x:c r="D67" s="16"/>
      <x:c r="E67" s="16"/>
      <x:c r="F67" s="2"/>
      <x:c r="G67" s="19" t="str">
        <x:v>В исходной таблице B71 содержит пробное x=4. Меняйте его при поиске ответа.</x:v>
      </x:c>
    </x:row>
    <x:row r="68" ht="25" customHeight="1">
      <x:c r="A68" s="13" t="n">
        <x:v>3</x:v>
      </x:c>
      <x:c r="B68" s="14" t="n">
        <x:v>3</x:v>
      </x:c>
      <x:c r="C68" s="15" t="str">
        <x:v>1</x:v>
      </x:c>
      <x:c r="D68" s="16"/>
      <x:c r="E68" s="16"/>
      <x:c r="F68" s="2"/>
      <x:c r="G68" s="2"/>
    </x:row>
    <x:row r="69" ht="25" customHeight="1">
      <x:c r="A69" s="13" t="n">
        <x:v>4</x:v>
      </x:c>
      <x:c r="B69" s="14" t="n">
        <x:v>2</x:v>
      </x:c>
      <x:c r="C69" s="15" t="str">
        <x:v>1; 2</x:v>
      </x:c>
      <x:c r="D69" s="16"/>
      <x:c r="E69" s="16"/>
      <x:c r="F69" s="2"/>
      <x:c r="G69" s="2"/>
    </x:row>
    <x:row r="70" ht="25" customHeight="1">
      <x:c r="A70" s="13" t="n">
        <x:v>5</x:v>
      </x:c>
      <x:c r="B70" s="14" t="n">
        <x:v>5</x:v>
      </x:c>
      <x:c r="C70" s="15" t="str">
        <x:v>2</x:v>
      </x:c>
      <x:c r="D70" s="16"/>
      <x:c r="E70" s="16"/>
      <x:c r="F70" s="2"/>
      <x:c r="G70" s="2"/>
    </x:row>
    <x:row r="71" ht="25" customHeight="1">
      <x:c r="A71" s="13" t="n">
        <x:v>6</x:v>
      </x:c>
      <x:c r="B71" s="14" t="n">
        <x:v>4</x:v>
      </x:c>
      <x:c r="C71" s="15" t="str">
        <x:v>3; 4</x:v>
      </x:c>
      <x:c r="D71" s="16"/>
      <x:c r="E71" s="16"/>
      <x:c r="F71" s="2"/>
      <x:c r="G71" s="2"/>
    </x:row>
    <x:row r="72" ht="25" customHeight="1">
      <x:c r="A72" s="13" t="n">
        <x:v>7</x:v>
      </x:c>
      <x:c r="B72" s="14" t="n">
        <x:v>2</x:v>
      </x:c>
      <x:c r="C72" s="15" t="str">
        <x:v>4; 5</x:v>
      </x:c>
      <x:c r="D72" s="16"/>
      <x:c r="E72" s="16"/>
      <x:c r="F72" s="2"/>
      <x:c r="G72" s="2"/>
    </x:row>
    <x:row r="73" ht="25" customHeight="1">
      <x:c r="A73" s="13" t="n">
        <x:v>8</x:v>
      </x:c>
      <x:c r="B73" s="14" t="n">
        <x:v>1</x:v>
      </x:c>
      <x:c r="C73" s="15" t="str">
        <x:v>6; 7</x:v>
      </x:c>
      <x:c r="D73" s="16"/>
      <x:c r="E73" s="16"/>
      <x:c r="F73" s="2"/>
      <x:c r="G73" s="2"/>
    </x:row>
    <x:row r="74" ht="25" customHeight="1">
      <x:c r="A74" s="2"/>
      <x:c r="B74" s="2"/>
      <x:c r="C74" s="2"/>
      <x:c r="D74" s="2"/>
      <x:c r="E74" s="2"/>
      <x:c r="F74" s="2"/>
      <x:c r="G74" s="2"/>
    </x:row>
    <x:row r="75" ht="25" customHeight="1">
      <x:c r="A75" s="2"/>
      <x:c r="B75" s="2"/>
      <x:c r="C75" s="2"/>
      <x:c r="D75" s="2"/>
      <x:c r="E75" s="2"/>
      <x:c r="F75" s="2"/>
      <x:c r="G75" s="2"/>
    </x:row>
    <x:row r="76" ht="25" customHeight="1">
      <x:c r="A76" s="2"/>
      <x:c r="B76" s="2"/>
      <x:c r="C76" s="2"/>
      <x:c r="D76" s="2"/>
      <x:c r="E76" s="2"/>
      <x:c r="F76" s="2"/>
      <x:c r="G76" s="2"/>
    </x:row>
    <x:row r="77" ht="25" customHeight="1">
      <x:c r="A77" s="2"/>
      <x:c r="B77" s="2"/>
      <x:c r="C77" s="2"/>
      <x:c r="D77" s="2"/>
      <x:c r="E77" s="2"/>
      <x:c r="F77" s="2"/>
      <x:c r="G77" s="2"/>
    </x:row>
    <x:row r="78" ht="25" customHeight="1">
      <x:c r="A78" s="2"/>
      <x:c r="B78" s="2"/>
      <x:c r="C78" s="2"/>
      <x:c r="D78" s="2"/>
      <x:c r="E78" s="2"/>
      <x:c r="F78" s="2"/>
      <x:c r="G78" s="2"/>
    </x:row>
    <x:row r="79" ht="25" customHeight="1">
      <x:c r="A79" s="2"/>
      <x:c r="B79" s="2"/>
      <x:c r="C79" s="2"/>
      <x:c r="D79" s="2"/>
      <x:c r="E79" s="2"/>
      <x:c r="F79" s="2"/>
      <x:c r="G79" s="2"/>
    </x:row>
    <x:row r="80" ht="25" customHeight="1">
      <x:c r="A80" s="2"/>
      <x:c r="B80" s="2"/>
      <x:c r="C80" s="2"/>
      <x:c r="D80" s="2"/>
      <x:c r="E80" s="2"/>
      <x:c r="F80" s="2"/>
      <x:c r="G80" s="2"/>
    </x:row>
    <x:row r="81" ht="25" customHeight="1">
      <x:c r="A81" s="2"/>
      <x:c r="B81" s="2"/>
      <x:c r="C81" s="2"/>
      <x:c r="D81" s="2"/>
      <x:c r="E81" s="2"/>
      <x:c r="F81" s="2"/>
      <x:c r="G81" s="2"/>
    </x:row>
    <x:row r="82" ht="64" customHeight="1">
      <x:c r="A82" s="38" t="str">
        <x:v>6. Ограничение двумя исполнителями</x:v>
      </x:c>
      <x:c r="B82" s="2"/>
      <x:c r="C82" s="2"/>
      <x:c r="D82" s="2"/>
      <x:c r="E82" s="2"/>
      <x:c r="F82" s="2"/>
      <x:c r="G82" s="19" t="str">
        <x:v>Одновременно работают не более 2 процессов. Из готовых выбирают меньший ID. Пауза внутри процесса запрещена. Постройте расписание и найдите общее время.</x:v>
      </x:c>
    </x:row>
    <x:row r="83" ht="25" customHeight="1">
      <x:c r="A83" s="2"/>
      <x:c r="B83" s="2"/>
      <x:c r="C83" s="2"/>
      <x:c r="D83" s="2"/>
      <x:c r="E83" s="2"/>
      <x:c r="F83" s="2"/>
      <x:c r="G83" s="2"/>
    </x:row>
    <x:row r="84" ht="38" customHeight="1">
      <x:c r="A84" s="9" t="str">
        <x:v>ID</x:v>
      </x:c>
      <x:c r="B84" s="9" t="str">
        <x:v>Длительность, мс</x:v>
      </x:c>
      <x:c r="C84" s="9" t="str">
        <x:v>Зависит от ID</x:v>
      </x:c>
      <x:c r="D84" s="9" t="str">
        <x:v>Начало, мс</x:v>
      </x:c>
      <x:c r="E84" s="9" t="str">
        <x:v>Окончание, мс</x:v>
      </x:c>
      <x:c r="F84" s="2"/>
      <x:c r="G84" s="2"/>
    </x:row>
    <x:row r="85" ht="25" customHeight="1">
      <x:c r="A85" s="13" t="n">
        <x:v>1</x:v>
      </x:c>
      <x:c r="B85" s="14" t="n">
        <x:v>4</x:v>
      </x:c>
      <x:c r="C85" s="15" t="str">
        <x:v>0</x:v>
      </x:c>
      <x:c r="D85" s="16"/>
      <x:c r="E85" s="16"/>
      <x:c r="F85" s="2"/>
      <x:c r="G85" s="2"/>
    </x:row>
    <x:row r="86" ht="25" customHeight="1">
      <x:c r="A86" s="13" t="n">
        <x:v>2</x:v>
      </x:c>
      <x:c r="B86" s="14" t="n">
        <x:v>4</x:v>
      </x:c>
      <x:c r="C86" s="15" t="str">
        <x:v>0</x:v>
      </x:c>
      <x:c r="D86" s="16"/>
      <x:c r="E86" s="16"/>
      <x:c r="F86" s="2"/>
      <x:c r="G86" s="2"/>
    </x:row>
    <x:row r="87" ht="25" customHeight="1">
      <x:c r="A87" s="13" t="n">
        <x:v>3</x:v>
      </x:c>
      <x:c r="B87" s="14" t="n">
        <x:v>3</x:v>
      </x:c>
      <x:c r="C87" s="15" t="str">
        <x:v>0</x:v>
      </x:c>
      <x:c r="D87" s="16"/>
      <x:c r="E87" s="16"/>
      <x:c r="F87" s="2"/>
      <x:c r="G87" s="2"/>
    </x:row>
    <x:row r="88" ht="25" customHeight="1">
      <x:c r="A88" s="13" t="n">
        <x:v>4</x:v>
      </x:c>
      <x:c r="B88" s="14" t="n">
        <x:v>2</x:v>
      </x:c>
      <x:c r="C88" s="15" t="str">
        <x:v>1</x:v>
      </x:c>
      <x:c r="D88" s="16"/>
      <x:c r="E88" s="16"/>
      <x:c r="F88" s="2"/>
      <x:c r="G88" s="2"/>
    </x:row>
    <x:row r="89" ht="25" customHeight="1">
      <x:c r="A89" s="13" t="n">
        <x:v>5</x:v>
      </x:c>
      <x:c r="B89" s="14" t="n">
        <x:v>1</x:v>
      </x:c>
      <x:c r="C89" s="15" t="str">
        <x:v>2; 3</x:v>
      </x:c>
      <x:c r="D89" s="16"/>
      <x:c r="E89" s="16"/>
      <x:c r="F89" s="2"/>
      <x:c r="G89" s="2"/>
    </x:row>
    <x:row r="90" ht="25" customHeight="1">
      <x:c r="A90" s="2"/>
      <x:c r="B90" s="2"/>
      <x:c r="C90" s="2"/>
      <x:c r="D90" s="2"/>
      <x:c r="E90" s="2"/>
      <x:c r="F90" s="2"/>
      <x:c r="G90" s="2"/>
    </x:row>
    <x:row r="91" ht="25" customHeight="1">
      <x:c r="A91" s="2"/>
      <x:c r="B91" s="2"/>
      <x:c r="C91" s="2"/>
      <x:c r="D91" s="2"/>
      <x:c r="E91" s="2"/>
      <x:c r="F91" s="2"/>
      <x:c r="G91" s="2"/>
    </x:row>
    <x:row r="92" ht="25" customHeight="1">
      <x:c r="A92" s="2"/>
      <x:c r="B92" s="2"/>
      <x:c r="C92" s="2"/>
      <x:c r="D92" s="2"/>
      <x:c r="E92" s="2"/>
      <x:c r="F92" s="2"/>
      <x:c r="G92" s="2"/>
    </x:row>
    <x:row r="93" ht="25" customHeight="1">
      <x:c r="A93" s="2"/>
      <x:c r="B93" s="2"/>
      <x:c r="C93" s="2"/>
      <x:c r="D93" s="2"/>
      <x:c r="E93" s="2"/>
      <x:c r="F93" s="2"/>
      <x:c r="G93" s="2"/>
    </x:row>
    <x:row r="94" ht="25" customHeight="1">
      <x:c r="A94" s="2"/>
      <x:c r="B94" s="2"/>
      <x:c r="C94" s="2"/>
      <x:c r="D94" s="2"/>
      <x:c r="E94" s="2"/>
      <x:c r="F94" s="2"/>
      <x:c r="G94" s="2"/>
    </x:row>
    <x:row r="95" ht="25" customHeight="1">
      <x:c r="A95" s="2"/>
      <x:c r="B95" s="2"/>
      <x:c r="C95" s="2"/>
      <x:c r="D95" s="2"/>
      <x:c r="E95" s="2"/>
      <x:c r="F95" s="2"/>
      <x:c r="G95" s="2"/>
    </x:row>
    <x:row r="96" ht="25" customHeight="1">
      <x:c r="A96" s="2"/>
      <x:c r="B96" s="2"/>
      <x:c r="C96" s="2"/>
      <x:c r="D96" s="2"/>
      <x:c r="E96" s="2"/>
      <x:c r="F96" s="2"/>
      <x:c r="G96" s="2"/>
    </x:row>
    <x:row r="97" ht="25" customHeight="1">
      <x:c r="A97" s="2"/>
      <x:c r="B97" s="2"/>
      <x:c r="C97" s="2"/>
      <x:c r="D97" s="2"/>
      <x:c r="E97" s="2"/>
      <x:c r="F97" s="2"/>
      <x:c r="G97" s="2"/>
    </x:row>
    <x:row r="98" ht="25" customHeight="1">
      <x:c r="A98" s="2"/>
      <x:c r="B98" s="2"/>
      <x:c r="C98" s="2"/>
      <x:c r="D98" s="2"/>
      <x:c r="E98" s="2"/>
      <x:c r="F98" s="2"/>
      <x:c r="G98" s="2"/>
    </x:row>
    <x:row r="99" ht="25" customHeight="1">
      <x:c r="A99" s="2"/>
      <x:c r="B99" s="2"/>
      <x:c r="C99" s="2"/>
      <x:c r="D99" s="2"/>
      <x:c r="E99" s="2"/>
      <x:c r="F99" s="2"/>
      <x:c r="G99" s="2"/>
    </x:row>
    <x:row r="100" ht="25" customHeight="1">
      <x:c r="A100" s="2"/>
      <x:c r="B100" s="2"/>
      <x:c r="C100" s="2"/>
      <x:c r="D100" s="2"/>
      <x:c r="E100" s="2"/>
      <x:c r="F100" s="2"/>
      <x:c r="G10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9" hidden="0" customWidth="1"/>
    <x:col min="2" max="2" width="17" hidden="0" customWidth="1"/>
    <x:col min="3" max="3" width="22" hidden="0" customWidth="1"/>
    <x:col min="4" max="4" width="17" hidden="0" customWidth="1"/>
    <x:col min="5" max="5" width="18" hidden="0" customWidth="1"/>
    <x:col min="6" max="6" width="3" hidden="0" customWidth="1"/>
    <x:col min="7" max="7" width="6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5" customHeight="1">
      <x:c r="A1" s="18" t="str">
        <x:v>Решения к практике</x:v>
      </x:c>
      <x:c r="B1" s="4"/>
      <x:c r="C1" s="4"/>
      <x:c r="D1" s="4"/>
      <x:c r="E1" s="4"/>
      <x:c r="F1" s="4"/>
      <x:c r="G1" s="4"/>
      <x:c r="H1" s="5"/>
      <x:c r="I1" s="5"/>
      <x:c r="J1" s="5"/>
      <x:c r="K1" s="5"/>
      <x:c r="L1" s="5"/>
    </x:row>
    <x:row r="2" ht="25" customHeight="1">
      <x:c r="A2" s="4" t="str">
        <x:v>Формулы можно читать в строке формул Excel. Для задачи 6 старты расставлены вручную по правилу очереди.</x:v>
      </x:c>
      <x:c r="B2" s="4"/>
      <x:c r="C2" s="4"/>
      <x:c r="D2" s="4"/>
      <x:c r="E2" s="4"/>
      <x:c r="F2" s="4"/>
      <x:c r="G2" s="4"/>
    </x:row>
    <x:row r="3" ht="25" customHeight="1">
      <x:c r="A3" s="2"/>
      <x:c r="B3" s="2"/>
      <x:c r="C3" s="2"/>
      <x:c r="D3" s="2"/>
      <x:c r="E3" s="2"/>
      <x:c r="F3" s="2"/>
      <x:c r="G3" s="2"/>
    </x:row>
    <x:row r="4" ht="64" customHeight="1">
      <x:c r="A4" s="38" t="str">
        <x:v>1. Ожидание двух результатов</x:v>
      </x:c>
      <x:c r="B4" s="2"/>
      <x:c r="C4" s="2"/>
      <x:c r="D4" s="2"/>
      <x:c r="E4" s="2"/>
      <x:c r="F4" s="2"/>
      <x:c r="G4" s="19" t="str">
        <x:v>Найдите начало процесса 3 и минимальное время выполнения всех процессов.</x:v>
      </x:c>
    </x:row>
    <x:row r="5" ht="25" customHeight="1">
      <x:c r="A5" s="2"/>
      <x:c r="B5" s="2"/>
      <x:c r="C5" s="2"/>
      <x:c r="D5" s="2"/>
      <x:c r="E5" s="2"/>
      <x:c r="F5" s="2"/>
      <x:c r="G5" s="2"/>
    </x:row>
    <x:row r="6" ht="38" customHeight="1">
      <x:c r="A6" s="9" t="str">
        <x:v>ID</x:v>
      </x:c>
      <x:c r="B6" s="9" t="str">
        <x:v>Длительность, мс</x:v>
      </x:c>
      <x:c r="C6" s="9" t="str">
        <x:v>Зависит от ID</x:v>
      </x:c>
      <x:c r="D6" s="9" t="str">
        <x:v>Начало, мс</x:v>
      </x:c>
      <x:c r="E6" s="9" t="str">
        <x:v>Окончание, мс</x:v>
      </x:c>
      <x:c r="F6" s="2"/>
      <x:c r="G6" s="2"/>
    </x:row>
    <x:row r="7" ht="64" customHeight="1">
      <x:c r="A7" s="13" t="n">
        <x:v>1</x:v>
      </x:c>
      <x:c r="B7" s="14" t="n">
        <x:v>4</x:v>
      </x:c>
      <x:c r="C7" s="15" t="str">
        <x:v>0</x:v>
      </x:c>
      <x:c r="D7" s="16" t="n">
        <x:f>0</x:f>
        <x:v>0</x:v>
      </x:c>
      <x:c r="E7" s="16" t="n">
        <x:f>D7+B7</x:f>
        <x:v>4</x:v>
      </x:c>
      <x:c r="F7" s="2"/>
      <x:c r="G7" s="19" t="str">
        <x:v>Начало 3: 7 мс. Все готовы: 12 мс.</x:v>
      </x:c>
    </x:row>
    <x:row r="8" ht="25" customHeight="1">
      <x:c r="A8" s="13" t="n">
        <x:v>2</x:v>
      </x:c>
      <x:c r="B8" s="14" t="n">
        <x:v>7</x:v>
      </x:c>
      <x:c r="C8" s="15" t="str">
        <x:v>0</x:v>
      </x:c>
      <x:c r="D8" s="16" t="n">
        <x:f>0</x:f>
        <x:v>0</x:v>
      </x:c>
      <x:c r="E8" s="16" t="n">
        <x:f>D8+B8</x:f>
        <x:v>7</x:v>
      </x:c>
      <x:c r="F8" s="2"/>
      <x:c r="G8" s="2"/>
    </x:row>
    <x:row r="9" ht="25" customHeight="1">
      <x:c r="A9" s="13" t="n">
        <x:v>3</x:v>
      </x:c>
      <x:c r="B9" s="14" t="n">
        <x:v>2</x:v>
      </x:c>
      <x:c r="C9" s="15" t="str">
        <x:v>1; 2</x:v>
      </x:c>
      <x:c r="D9" s="16" t="n">
        <x:f>MAX(E7,E8)</x:f>
        <x:v>7</x:v>
      </x:c>
      <x:c r="E9" s="16" t="n">
        <x:f>D9+B9</x:f>
        <x:v>9</x:v>
      </x:c>
      <x:c r="F9" s="2"/>
      <x:c r="G9" s="2"/>
    </x:row>
    <x:row r="10" ht="25" customHeight="1">
      <x:c r="A10" s="13" t="n">
        <x:v>4</x:v>
      </x:c>
      <x:c r="B10" s="14" t="n">
        <x:v>3</x:v>
      </x:c>
      <x:c r="C10" s="15" t="str">
        <x:v>3</x:v>
      </x:c>
      <x:c r="D10" s="16" t="n">
        <x:f>MAX(E9)</x:f>
        <x:v>9</x:v>
      </x:c>
      <x:c r="E10" s="16" t="n">
        <x:f>D10+B10</x:f>
        <x:v>12</x:v>
      </x:c>
      <x:c r="F10" s="2"/>
      <x:c r="G10" s="2"/>
    </x:row>
    <x:row r="11" ht="25" customHeight="1">
      <x:c r="A11" s="2"/>
      <x:c r="B11" s="2"/>
      <x:c r="C11" s="2"/>
      <x:c r="D11" s="2"/>
      <x:c r="E11" s="2"/>
      <x:c r="F11" s="2"/>
      <x:c r="G11" s="2"/>
    </x:row>
    <x:row r="12" ht="25" customHeight="1">
      <x:c r="A12" s="2"/>
      <x:c r="B12" s="2"/>
      <x:c r="C12" s="17" t="str">
        <x:v>Все готовы, мс</x:v>
      </x:c>
      <x:c r="D12" s="17"/>
      <x:c r="E12" s="17" t="n">
        <x:f>MAX(E7:E10)</x:f>
        <x:v>12</x:v>
      </x:c>
      <x:c r="F12" s="2"/>
      <x:c r="G12" s="2"/>
    </x:row>
    <x:row r="13" ht="25" customHeight="1">
      <x:c r="A13" s="2"/>
      <x:c r="B13" s="2"/>
      <x:c r="C13" s="2"/>
      <x:c r="D13" s="2"/>
      <x:c r="E13" s="2"/>
      <x:c r="F13" s="2"/>
      <x:c r="G13" s="2"/>
    </x:row>
    <x:row r="14" ht="25" customHeight="1">
      <x:c r="A14" s="2"/>
      <x:c r="B14" s="2"/>
      <x:c r="C14" s="2"/>
      <x:c r="D14" s="2"/>
      <x:c r="E14" s="2"/>
      <x:c r="F14" s="2"/>
      <x:c r="G14" s="2"/>
    </x:row>
    <x:row r="15" ht="25" customHeight="1">
      <x:c r="A15" s="2"/>
      <x:c r="B15" s="2"/>
      <x:c r="C15" s="2"/>
      <x:c r="D15" s="2"/>
      <x:c r="E15" s="2"/>
      <x:c r="F15" s="2"/>
      <x:c r="G15" s="2"/>
    </x:row>
    <x:row r="16" ht="25" customHeight="1">
      <x:c r="A16" s="2"/>
      <x:c r="B16" s="2"/>
      <x:c r="C16" s="2"/>
      <x:c r="D16" s="2"/>
      <x:c r="E16" s="2"/>
      <x:c r="F16" s="2"/>
      <x:c r="G16" s="2"/>
    </x:row>
    <x:row r="17" ht="64" customHeight="1">
      <x:c r="A17" s="38" t="str">
        <x:v>2. ID не совпадает с порядком строк</x:v>
      </x:c>
      <x:c r="B17" s="2"/>
      <x:c r="C17" s="2"/>
      <x:c r="D17" s="2"/>
      <x:c r="E17" s="2"/>
      <x:c r="F17" s="2"/>
      <x:c r="G17" s="19" t="str">
        <x:v>Строки перепутаны. Найдите начало процесса 50 и общее время. Через ссылки можно обращаться к строкам ниже.</x:v>
      </x:c>
    </x:row>
    <x:row r="18" ht="25" customHeight="1">
      <x:c r="A18" s="2"/>
      <x:c r="B18" s="2"/>
      <x:c r="C18" s="2"/>
      <x:c r="D18" s="2"/>
      <x:c r="E18" s="2"/>
      <x:c r="F18" s="2"/>
      <x:c r="G18" s="2"/>
    </x:row>
    <x:row r="19" ht="38" customHeight="1">
      <x:c r="A19" s="9" t="str">
        <x:v>ID</x:v>
      </x:c>
      <x:c r="B19" s="9" t="str">
        <x:v>Длительность, мс</x:v>
      </x:c>
      <x:c r="C19" s="9" t="str">
        <x:v>Зависит от ID</x:v>
      </x:c>
      <x:c r="D19" s="9" t="str">
        <x:v>Начало, мс</x:v>
      </x:c>
      <x:c r="E19" s="9" t="str">
        <x:v>Окончание, мс</x:v>
      </x:c>
      <x:c r="F19" s="2"/>
      <x:c r="G19" s="2"/>
    </x:row>
    <x:row r="20" ht="64" customHeight="1">
      <x:c r="A20" s="13" t="n">
        <x:v>20</x:v>
      </x:c>
      <x:c r="B20" s="14" t="n">
        <x:v>3</x:v>
      </x:c>
      <x:c r="C20" s="15" t="str">
        <x:v>10</x:v>
      </x:c>
      <x:c r="D20" s="16" t="n">
        <x:f>MAX(E22)</x:f>
        <x:v>5</x:v>
      </x:c>
      <x:c r="E20" s="16" t="n">
        <x:f>D20+B20</x:f>
        <x:v>8</x:v>
      </x:c>
      <x:c r="F20" s="2"/>
      <x:c r="G20" s="19" t="str">
        <x:v>Начало 50: 12 мс. Все готовы: 14 мс.</x:v>
      </x:c>
    </x:row>
    <x:row r="21" ht="25" customHeight="1">
      <x:c r="A21" s="13" t="n">
        <x:v>40</x:v>
      </x:c>
      <x:c r="B21" s="14" t="n">
        <x:v>4</x:v>
      </x:c>
      <x:c r="C21" s="15" t="str">
        <x:v>20</x:v>
      </x:c>
      <x:c r="D21" s="16" t="n">
        <x:f>MAX(E20)</x:f>
        <x:v>8</x:v>
      </x:c>
      <x:c r="E21" s="16" t="n">
        <x:f>D21+B21</x:f>
        <x:v>12</x:v>
      </x:c>
      <x:c r="F21" s="2"/>
      <x:c r="G21" s="2"/>
    </x:row>
    <x:row r="22" ht="25" customHeight="1">
      <x:c r="A22" s="13" t="n">
        <x:v>10</x:v>
      </x:c>
      <x:c r="B22" s="14" t="n">
        <x:v>5</x:v>
      </x:c>
      <x:c r="C22" s="15" t="str">
        <x:v>0</x:v>
      </x:c>
      <x:c r="D22" s="16" t="n">
        <x:f>0</x:f>
        <x:v>0</x:v>
      </x:c>
      <x:c r="E22" s="16" t="n">
        <x:f>D22+B22</x:f>
        <x:v>5</x:v>
      </x:c>
      <x:c r="F22" s="2"/>
      <x:c r="G22" s="2"/>
    </x:row>
    <x:row r="23" ht="25" customHeight="1">
      <x:c r="A23" s="13" t="n">
        <x:v>30</x:v>
      </x:c>
      <x:c r="B23" s="14" t="n">
        <x:v>8</x:v>
      </x:c>
      <x:c r="C23" s="15" t="str">
        <x:v>0</x:v>
      </x:c>
      <x:c r="D23" s="16" t="n">
        <x:f>0</x:f>
        <x:v>0</x:v>
      </x:c>
      <x:c r="E23" s="16" t="n">
        <x:f>D23+B23</x:f>
        <x:v>8</x:v>
      </x:c>
      <x:c r="F23" s="2"/>
      <x:c r="G23" s="2"/>
    </x:row>
    <x:row r="24" ht="25" customHeight="1">
      <x:c r="A24" s="13" t="n">
        <x:v>50</x:v>
      </x:c>
      <x:c r="B24" s="14" t="n">
        <x:v>2</x:v>
      </x:c>
      <x:c r="C24" s="15" t="str">
        <x:v>30; 40</x:v>
      </x:c>
      <x:c r="D24" s="16" t="n">
        <x:f>MAX(E23,E21)</x:f>
        <x:v>12</x:v>
      </x:c>
      <x:c r="E24" s="16" t="n">
        <x:f>D24+B24</x:f>
        <x:v>14</x:v>
      </x:c>
      <x:c r="F24" s="2"/>
      <x:c r="G24" s="2"/>
    </x:row>
    <x:row r="25" ht="25" customHeight="1">
      <x:c r="A25" s="2"/>
      <x:c r="B25" s="2"/>
      <x:c r="C25" s="2"/>
      <x:c r="D25" s="2"/>
      <x:c r="E25" s="2"/>
      <x:c r="F25" s="2"/>
      <x:c r="G25" s="2"/>
    </x:row>
    <x:row r="26" ht="25" customHeight="1">
      <x:c r="A26" s="2"/>
      <x:c r="B26" s="2"/>
      <x:c r="C26" s="17" t="str">
        <x:v>Все готовы, мс</x:v>
      </x:c>
      <x:c r="D26" s="17"/>
      <x:c r="E26" s="17" t="n">
        <x:f>MAX(E20:E24)</x:f>
        <x:v>14</x:v>
      </x:c>
      <x:c r="F26" s="2"/>
      <x:c r="G26" s="2"/>
    </x:row>
    <x:row r="27" ht="25" customHeight="1">
      <x:c r="A27" s="2"/>
      <x:c r="B27" s="2"/>
      <x:c r="C27" s="2"/>
      <x:c r="D27" s="2"/>
      <x:c r="E27" s="2"/>
      <x:c r="F27" s="2"/>
      <x:c r="G27" s="2"/>
    </x:row>
    <x:row r="28" ht="25" customHeight="1">
      <x:c r="A28" s="2"/>
      <x:c r="B28" s="2"/>
      <x:c r="C28" s="2"/>
      <x:c r="D28" s="2"/>
      <x:c r="E28" s="2"/>
      <x:c r="F28" s="2"/>
      <x:c r="G28" s="2"/>
    </x:row>
    <x:row r="29" ht="25" customHeight="1">
      <x:c r="A29" s="2"/>
      <x:c r="B29" s="2"/>
      <x:c r="C29" s="2"/>
      <x:c r="D29" s="2"/>
      <x:c r="E29" s="2"/>
      <x:c r="F29" s="2"/>
      <x:c r="G29" s="2"/>
    </x:row>
    <x:row r="30" ht="25" customHeight="1">
      <x:c r="A30" s="2"/>
      <x:c r="B30" s="2"/>
      <x:c r="C30" s="2"/>
      <x:c r="D30" s="2"/>
      <x:c r="E30" s="2"/>
      <x:c r="F30" s="2"/>
      <x:c r="G30" s="2"/>
    </x:row>
    <x:row r="31" ht="64" customHeight="1">
      <x:c r="A31" s="38" t="str">
        <x:v>3. Параллельность</x:v>
      </x:c>
      <x:c r="B31" s="2"/>
      <x:c r="C31" s="2"/>
      <x:c r="D31" s="2"/>
      <x:c r="E31" s="2"/>
      <x:c r="F31" s="2"/>
      <x:c r="G31" s="19" t="str">
        <x:v>Найдите общее время, пик параллельности, самый длинный отрезок с этим пиком и число работающих процессов в момент 7 мс.</x:v>
      </x:c>
    </x:row>
    <x:row r="32" ht="25" customHeight="1">
      <x:c r="A32" s="2"/>
      <x:c r="B32" s="2"/>
      <x:c r="C32" s="2"/>
      <x:c r="D32" s="2"/>
      <x:c r="E32" s="2"/>
      <x:c r="F32" s="2"/>
      <x:c r="G32" s="2"/>
    </x:row>
    <x:row r="33" ht="38" customHeight="1">
      <x:c r="A33" s="9" t="str">
        <x:v>ID</x:v>
      </x:c>
      <x:c r="B33" s="9" t="str">
        <x:v>Длительность, мс</x:v>
      </x:c>
      <x:c r="C33" s="9" t="str">
        <x:v>Зависит от ID</x:v>
      </x:c>
      <x:c r="D33" s="9" t="str">
        <x:v>Начало, мс</x:v>
      </x:c>
      <x:c r="E33" s="9" t="str">
        <x:v>Окончание, мс</x:v>
      </x:c>
      <x:c r="F33" s="2"/>
      <x:c r="G33" s="2"/>
    </x:row>
    <x:row r="34" ht="64" customHeight="1">
      <x:c r="A34" s="13" t="n">
        <x:v>1</x:v>
      </x:c>
      <x:c r="B34" s="14" t="n">
        <x:v>4</x:v>
      </x:c>
      <x:c r="C34" s="15" t="str">
        <x:v>0</x:v>
      </x:c>
      <x:c r="D34" s="16" t="n">
        <x:f>0</x:f>
        <x:v>0</x:v>
      </x:c>
      <x:c r="E34" s="16" t="n">
        <x:f>D34+B34</x:f>
        <x:v>4</x:v>
      </x:c>
      <x:c r="F34" s="2"/>
      <x:c r="G34" s="19" t="str">
        <x:v>Общее время: 14 мс. Пик: 3 процесса на [6;7), длительность 1 мс. При t=7 работают 2 процесса.</x:v>
      </x:c>
    </x:row>
    <x:row r="35" ht="25" customHeight="1">
      <x:c r="A35" s="13" t="n">
        <x:v>2</x:v>
      </x:c>
      <x:c r="B35" s="14" t="n">
        <x:v>6</x:v>
      </x:c>
      <x:c r="C35" s="15" t="str">
        <x:v>0</x:v>
      </x:c>
      <x:c r="D35" s="16" t="n">
        <x:f>0</x:f>
        <x:v>0</x:v>
      </x:c>
      <x:c r="E35" s="16" t="n">
        <x:f>D35+B35</x:f>
        <x:v>6</x:v>
      </x:c>
      <x:c r="F35" s="2"/>
      <x:c r="G35" s="2"/>
    </x:row>
    <x:row r="36" ht="25" customHeight="1">
      <x:c r="A36" s="13" t="n">
        <x:v>3</x:v>
      </x:c>
      <x:c r="B36" s="14" t="n">
        <x:v>3</x:v>
      </x:c>
      <x:c r="C36" s="15" t="str">
        <x:v>1</x:v>
      </x:c>
      <x:c r="D36" s="16" t="n">
        <x:f>MAX(E34)</x:f>
        <x:v>4</x:v>
      </x:c>
      <x:c r="E36" s="16" t="n">
        <x:f>D36+B36</x:f>
        <x:v>7</x:v>
      </x:c>
      <x:c r="F36" s="2"/>
      <x:c r="G36" s="2"/>
    </x:row>
    <x:row r="37" ht="25" customHeight="1">
      <x:c r="A37" s="13" t="n">
        <x:v>4</x:v>
      </x:c>
      <x:c r="B37" s="14" t="n">
        <x:v>2</x:v>
      </x:c>
      <x:c r="C37" s="15" t="str">
        <x:v>1; 2</x:v>
      </x:c>
      <x:c r="D37" s="16" t="n">
        <x:f>MAX(E34,E35)</x:f>
        <x:v>6</x:v>
      </x:c>
      <x:c r="E37" s="16" t="n">
        <x:f>D37+B37</x:f>
        <x:v>8</x:v>
      </x:c>
      <x:c r="F37" s="2"/>
      <x:c r="G37" s="2"/>
    </x:row>
    <x:row r="38" ht="25" customHeight="1">
      <x:c r="A38" s="13" t="n">
        <x:v>5</x:v>
      </x:c>
      <x:c r="B38" s="14" t="n">
        <x:v>5</x:v>
      </x:c>
      <x:c r="C38" s="15" t="str">
        <x:v>2</x:v>
      </x:c>
      <x:c r="D38" s="16" t="n">
        <x:f>MAX(E35)</x:f>
        <x:v>6</x:v>
      </x:c>
      <x:c r="E38" s="16" t="n">
        <x:f>D38+B38</x:f>
        <x:v>11</x:v>
      </x:c>
      <x:c r="F38" s="2"/>
      <x:c r="G38" s="2"/>
    </x:row>
    <x:row r="39" ht="25" customHeight="1">
      <x:c r="A39" s="13" t="n">
        <x:v>6</x:v>
      </x:c>
      <x:c r="B39" s="14" t="n">
        <x:v>4</x:v>
      </x:c>
      <x:c r="C39" s="15" t="str">
        <x:v>3; 4</x:v>
      </x:c>
      <x:c r="D39" s="16" t="n">
        <x:f>MAX(E36,E37)</x:f>
        <x:v>8</x:v>
      </x:c>
      <x:c r="E39" s="16" t="n">
        <x:f>D39+B39</x:f>
        <x:v>12</x:v>
      </x:c>
      <x:c r="F39" s="2"/>
      <x:c r="G39" s="2"/>
    </x:row>
    <x:row r="40" ht="25" customHeight="1">
      <x:c r="A40" s="13" t="n">
        <x:v>7</x:v>
      </x:c>
      <x:c r="B40" s="14" t="n">
        <x:v>2</x:v>
      </x:c>
      <x:c r="C40" s="15" t="str">
        <x:v>4; 5</x:v>
      </x:c>
      <x:c r="D40" s="16" t="n">
        <x:f>MAX(E37,E38)</x:f>
        <x:v>11</x:v>
      </x:c>
      <x:c r="E40" s="16" t="n">
        <x:f>D40+B40</x:f>
        <x:v>13</x:v>
      </x:c>
      <x:c r="F40" s="2"/>
      <x:c r="G40" s="2"/>
    </x:row>
    <x:row r="41" ht="25" customHeight="1">
      <x:c r="A41" s="13" t="n">
        <x:v>8</x:v>
      </x:c>
      <x:c r="B41" s="14" t="n">
        <x:v>1</x:v>
      </x:c>
      <x:c r="C41" s="15" t="str">
        <x:v>6; 7</x:v>
      </x:c>
      <x:c r="D41" s="16" t="n">
        <x:f>MAX(E39,E40)</x:f>
        <x:v>13</x:v>
      </x:c>
      <x:c r="E41" s="16" t="n">
        <x:f>D41+B41</x:f>
        <x:v>14</x:v>
      </x:c>
      <x:c r="F41" s="2"/>
      <x:c r="G41" s="2"/>
    </x:row>
    <x:row r="42" ht="25" customHeight="1">
      <x:c r="A42" s="2"/>
      <x:c r="B42" s="2"/>
      <x:c r="C42" s="2"/>
      <x:c r="D42" s="2"/>
      <x:c r="E42" s="2"/>
      <x:c r="F42" s="2"/>
      <x:c r="G42" s="2"/>
    </x:row>
    <x:row r="43" ht="25" customHeight="1">
      <x:c r="A43" s="2"/>
      <x:c r="B43" s="2"/>
      <x:c r="C43" s="17" t="str">
        <x:v>Все готовы, мс</x:v>
      </x:c>
      <x:c r="D43" s="17"/>
      <x:c r="E43" s="17" t="n">
        <x:f>MAX(E34:E41)</x:f>
        <x:v>14</x:v>
      </x:c>
      <x:c r="F43" s="2"/>
      <x:c r="G43" s="2"/>
    </x:row>
    <x:row r="44" ht="25" customHeight="1">
      <x:c r="A44" s="2"/>
      <x:c r="B44" s="2"/>
      <x:c r="C44" s="2"/>
      <x:c r="D44" s="2"/>
      <x:c r="E44" s="2"/>
      <x:c r="F44" s="2"/>
      <x:c r="G44" s="2"/>
    </x:row>
    <x:row r="45" ht="25" customHeight="1">
      <x:c r="A45" s="2"/>
      <x:c r="B45" s="2"/>
      <x:c r="C45" s="2"/>
      <x:c r="D45" s="2"/>
      <x:c r="E45" s="2"/>
      <x:c r="F45" s="2"/>
      <x:c r="G45" s="2"/>
    </x:row>
    <x:row r="46" ht="25" customHeight="1">
      <x:c r="A46" s="2"/>
      <x:c r="B46" s="2"/>
      <x:c r="C46" s="2"/>
      <x:c r="D46" s="2"/>
      <x:c r="E46" s="2"/>
      <x:c r="F46" s="2"/>
      <x:c r="G46" s="2"/>
    </x:row>
    <x:row r="47" ht="25" customHeight="1">
      <x:c r="A47" s="2"/>
      <x:c r="B47" s="2"/>
      <x:c r="C47" s="2"/>
      <x:c r="D47" s="2"/>
      <x:c r="E47" s="2"/>
      <x:c r="F47" s="2"/>
      <x:c r="G47" s="2"/>
    </x:row>
    <x:row r="48" ht="25" customHeight="1">
      <x:c r="A48" s="2"/>
      <x:c r="B48" s="2"/>
      <x:c r="C48" s="2"/>
      <x:c r="D48" s="2"/>
      <x:c r="E48" s="2"/>
      <x:c r="F48" s="2"/>
      <x:c r="G48" s="2"/>
    </x:row>
    <x:row r="49" ht="25" customHeight="1">
      <x:c r="A49" s="2"/>
      <x:c r="B49" s="2"/>
      <x:c r="C49" s="2"/>
      <x:c r="D49" s="2"/>
      <x:c r="E49" s="2"/>
      <x:c r="F49" s="2"/>
      <x:c r="G49" s="2"/>
    </x:row>
    <x:row r="50" ht="64" customHeight="1">
      <x:c r="A50" s="38" t="str">
        <x:v>4. Задержка передачи 2 мс</x:v>
      </x:c>
      <x:c r="B50" s="2"/>
      <x:c r="C50" s="2"/>
      <x:c r="D50" s="2"/>
      <x:c r="E50" s="2"/>
      <x:c r="F50" s="2"/>
      <x:c r="G50" s="19" t="str">
        <x:v>Каждый зависимый процесс запускается через 2 мс после готовности всех результатов. Независимые начинают в 0. Найдите начало процесса 4 и общее время.</x:v>
      </x:c>
    </x:row>
    <x:row r="51" ht="25" customHeight="1">
      <x:c r="A51" s="2"/>
      <x:c r="B51" s="2"/>
      <x:c r="C51" s="2"/>
      <x:c r="D51" s="2"/>
      <x:c r="E51" s="2"/>
      <x:c r="F51" s="2"/>
      <x:c r="G51" s="2"/>
    </x:row>
    <x:row r="52" ht="38" customHeight="1">
      <x:c r="A52" s="9" t="str">
        <x:v>ID</x:v>
      </x:c>
      <x:c r="B52" s="9" t="str">
        <x:v>Длительность, мс</x:v>
      </x:c>
      <x:c r="C52" s="9" t="str">
        <x:v>Зависит от ID</x:v>
      </x:c>
      <x:c r="D52" s="9" t="str">
        <x:v>Начало, мс</x:v>
      </x:c>
      <x:c r="E52" s="9" t="str">
        <x:v>Окончание, мс</x:v>
      </x:c>
      <x:c r="F52" s="2"/>
      <x:c r="G52" s="2"/>
    </x:row>
    <x:row r="53" ht="64" customHeight="1">
      <x:c r="A53" s="13" t="n">
        <x:v>1</x:v>
      </x:c>
      <x:c r="B53" s="14" t="n">
        <x:v>3</x:v>
      </x:c>
      <x:c r="C53" s="15" t="str">
        <x:v>0</x:v>
      </x:c>
      <x:c r="D53" s="16" t="n">
        <x:f>0</x:f>
        <x:v>0</x:v>
      </x:c>
      <x:c r="E53" s="16" t="n">
        <x:f>D53+B53</x:f>
        <x:v>3</x:v>
      </x:c>
      <x:c r="F53" s="2"/>
      <x:c r="G53" s="19" t="str">
        <x:v>Начало 3: 7 мс, окончание 3: 11 мс. Начало 4: 13 мс. Все готовы: 15 мс.</x:v>
      </x:c>
    </x:row>
    <x:row r="54" ht="25" customHeight="1">
      <x:c r="A54" s="13" t="n">
        <x:v>2</x:v>
      </x:c>
      <x:c r="B54" s="14" t="n">
        <x:v>5</x:v>
      </x:c>
      <x:c r="C54" s="15" t="str">
        <x:v>0</x:v>
      </x:c>
      <x:c r="D54" s="16" t="n">
        <x:f>0</x:f>
        <x:v>0</x:v>
      </x:c>
      <x:c r="E54" s="16" t="n">
        <x:f>D54+B54</x:f>
        <x:v>5</x:v>
      </x:c>
      <x:c r="F54" s="2"/>
      <x:c r="G54" s="2"/>
    </x:row>
    <x:row r="55" ht="25" customHeight="1">
      <x:c r="A55" s="13" t="n">
        <x:v>3</x:v>
      </x:c>
      <x:c r="B55" s="14" t="n">
        <x:v>4</x:v>
      </x:c>
      <x:c r="C55" s="15" t="str">
        <x:v>1; 2</x:v>
      </x:c>
      <x:c r="D55" s="16" t="n">
        <x:f>MAX(E53,E54)+2</x:f>
        <x:v>7</x:v>
      </x:c>
      <x:c r="E55" s="16" t="n">
        <x:f>D55+B55</x:f>
        <x:v>11</x:v>
      </x:c>
      <x:c r="F55" s="2"/>
      <x:c r="G55" s="2"/>
    </x:row>
    <x:row r="56" ht="25" customHeight="1">
      <x:c r="A56" s="13" t="n">
        <x:v>4</x:v>
      </x:c>
      <x:c r="B56" s="14" t="n">
        <x:v>2</x:v>
      </x:c>
      <x:c r="C56" s="15" t="str">
        <x:v>3</x:v>
      </x:c>
      <x:c r="D56" s="16" t="n">
        <x:f>MAX(E55)+2</x:f>
        <x:v>13</x:v>
      </x:c>
      <x:c r="E56" s="16" t="n">
        <x:f>D56+B56</x:f>
        <x:v>15</x:v>
      </x:c>
      <x:c r="F56" s="2"/>
      <x:c r="G56" s="2"/>
    </x:row>
    <x:row r="57" ht="25" customHeight="1">
      <x:c r="A57" s="2"/>
      <x:c r="B57" s="2"/>
      <x:c r="C57" s="2"/>
      <x:c r="D57" s="2"/>
      <x:c r="E57" s="2"/>
      <x:c r="F57" s="2"/>
      <x:c r="G57" s="2"/>
    </x:row>
    <x:row r="58" ht="25" customHeight="1">
      <x:c r="A58" s="2"/>
      <x:c r="B58" s="2"/>
      <x:c r="C58" s="17" t="str">
        <x:v>Все готовы, мс</x:v>
      </x:c>
      <x:c r="D58" s="17"/>
      <x:c r="E58" s="17" t="n">
        <x:f>MAX(E53:E56)</x:f>
        <x:v>15</x:v>
      </x:c>
      <x:c r="F58" s="2"/>
      <x:c r="G58" s="2"/>
    </x:row>
    <x:row r="59" ht="25" customHeight="1">
      <x:c r="A59" s="2"/>
      <x:c r="B59" s="2"/>
      <x:c r="C59" s="2"/>
      <x:c r="D59" s="2"/>
      <x:c r="E59" s="2"/>
      <x:c r="F59" s="2"/>
      <x:c r="G59" s="2"/>
    </x:row>
    <x:row r="60" ht="25" customHeight="1">
      <x:c r="A60" s="2"/>
      <x:c r="B60" s="2"/>
      <x:c r="C60" s="2"/>
      <x:c r="D60" s="2"/>
      <x:c r="E60" s="2"/>
      <x:c r="F60" s="2"/>
      <x:c r="G60" s="2"/>
    </x:row>
    <x:row r="61" ht="25" customHeight="1">
      <x:c r="A61" s="2"/>
      <x:c r="B61" s="2"/>
      <x:c r="C61" s="2"/>
      <x:c r="D61" s="2"/>
      <x:c r="E61" s="2"/>
      <x:c r="F61" s="2"/>
      <x:c r="G61" s="2"/>
    </x:row>
    <x:row r="62" ht="25" customHeight="1">
      <x:c r="A62" s="2"/>
      <x:c r="B62" s="2"/>
      <x:c r="C62" s="2"/>
      <x:c r="D62" s="2"/>
      <x:c r="E62" s="2"/>
      <x:c r="F62" s="2"/>
      <x:c r="G62" s="2"/>
    </x:row>
    <x:row r="63" ht="64" customHeight="1">
      <x:c r="A63" s="38" t="str">
        <x:v>5. Неизвестная длительность</x:v>
      </x:c>
      <x:c r="B63" s="2"/>
      <x:c r="C63" s="2"/>
      <x:c r="D63" s="2"/>
      <x:c r="E63" s="2"/>
      <x:c r="F63" s="2"/>
      <x:c r="G63" s="19" t="str">
        <x:v>Длительность процесса 6 — положительное целое x. Найдите x, если общее время равно 16 мс. Затем найдите наибольшее x при общем времени 14 мс.</x:v>
      </x:c>
    </x:row>
    <x:row r="64" ht="25" customHeight="1">
      <x:c r="A64" s="2"/>
      <x:c r="B64" s="2"/>
      <x:c r="C64" s="2"/>
      <x:c r="D64" s="2"/>
      <x:c r="E64" s="2"/>
      <x:c r="F64" s="2"/>
      <x:c r="G64" s="2"/>
    </x:row>
    <x:row r="65" ht="38" customHeight="1">
      <x:c r="A65" s="9" t="str">
        <x:v>ID</x:v>
      </x:c>
      <x:c r="B65" s="9" t="str">
        <x:v>Длительность, мс</x:v>
      </x:c>
      <x:c r="C65" s="9" t="str">
        <x:v>Зависит от ID</x:v>
      </x:c>
      <x:c r="D65" s="9" t="str">
        <x:v>Начало, мс</x:v>
      </x:c>
      <x:c r="E65" s="9" t="str">
        <x:v>Окончание, мс</x:v>
      </x:c>
      <x:c r="F65" s="2"/>
      <x:c r="G65" s="2"/>
    </x:row>
    <x:row r="66" ht="64" customHeight="1">
      <x:c r="A66" s="13" t="n">
        <x:v>1</x:v>
      </x:c>
      <x:c r="B66" s="14" t="n">
        <x:v>4</x:v>
      </x:c>
      <x:c r="C66" s="15" t="str">
        <x:v>0</x:v>
      </x:c>
      <x:c r="D66" s="16" t="n">
        <x:f>0</x:f>
        <x:v>0</x:v>
      </x:c>
      <x:c r="E66" s="16" t="n">
        <x:f>D66+B66</x:f>
        <x:v>4</x:v>
      </x:c>
      <x:c r="F66" s="2"/>
      <x:c r="G66" s="19" t="str">
        <x:v>Для 16 мс: x=7. Для 14 мс: 1≤x≤5, наибольшее x=5.</x:v>
      </x:c>
    </x:row>
    <x:row r="67" ht="25" customHeight="1">
      <x:c r="A67" s="13" t="n">
        <x:v>2</x:v>
      </x:c>
      <x:c r="B67" s="14" t="n">
        <x:v>6</x:v>
      </x:c>
      <x:c r="C67" s="15" t="str">
        <x:v>0</x:v>
      </x:c>
      <x:c r="D67" s="16" t="n">
        <x:f>0</x:f>
        <x:v>0</x:v>
      </x:c>
      <x:c r="E67" s="16" t="n">
        <x:f>D67+B67</x:f>
        <x:v>6</x:v>
      </x:c>
      <x:c r="F67" s="2"/>
      <x:c r="G67" s="2"/>
    </x:row>
    <x:row r="68" ht="25" customHeight="1">
      <x:c r="A68" s="13" t="n">
        <x:v>3</x:v>
      </x:c>
      <x:c r="B68" s="14" t="n">
        <x:v>3</x:v>
      </x:c>
      <x:c r="C68" s="15" t="str">
        <x:v>1</x:v>
      </x:c>
      <x:c r="D68" s="16" t="n">
        <x:f>MAX(E66)</x:f>
        <x:v>4</x:v>
      </x:c>
      <x:c r="E68" s="16" t="n">
        <x:f>D68+B68</x:f>
        <x:v>7</x:v>
      </x:c>
      <x:c r="F68" s="2"/>
      <x:c r="G68" s="2"/>
    </x:row>
    <x:row r="69" ht="25" customHeight="1">
      <x:c r="A69" s="13" t="n">
        <x:v>4</x:v>
      </x:c>
      <x:c r="B69" s="14" t="n">
        <x:v>2</x:v>
      </x:c>
      <x:c r="C69" s="15" t="str">
        <x:v>1; 2</x:v>
      </x:c>
      <x:c r="D69" s="16" t="n">
        <x:f>MAX(E66,E67)</x:f>
        <x:v>6</x:v>
      </x:c>
      <x:c r="E69" s="16" t="n">
        <x:f>D69+B69</x:f>
        <x:v>8</x:v>
      </x:c>
      <x:c r="F69" s="2"/>
      <x:c r="G69" s="2"/>
    </x:row>
    <x:row r="70" ht="25" customHeight="1">
      <x:c r="A70" s="13" t="n">
        <x:v>5</x:v>
      </x:c>
      <x:c r="B70" s="14" t="n">
        <x:v>5</x:v>
      </x:c>
      <x:c r="C70" s="15" t="str">
        <x:v>2</x:v>
      </x:c>
      <x:c r="D70" s="16" t="n">
        <x:f>MAX(E67)</x:f>
        <x:v>6</x:v>
      </x:c>
      <x:c r="E70" s="16" t="n">
        <x:f>D70+B70</x:f>
        <x:v>11</x:v>
      </x:c>
      <x:c r="F70" s="2"/>
      <x:c r="G70" s="2"/>
    </x:row>
    <x:row r="71" ht="25" customHeight="1">
      <x:c r="A71" s="13" t="n">
        <x:v>6</x:v>
      </x:c>
      <x:c r="B71" s="14" t="n">
        <x:v>7</x:v>
      </x:c>
      <x:c r="C71" s="15" t="str">
        <x:v>3; 4</x:v>
      </x:c>
      <x:c r="D71" s="16" t="n">
        <x:f>MAX(E68,E69)</x:f>
        <x:v>8</x:v>
      </x:c>
      <x:c r="E71" s="16" t="n">
        <x:f>D71+B71</x:f>
        <x:v>15</x:v>
      </x:c>
      <x:c r="F71" s="2"/>
      <x:c r="G71" s="2"/>
    </x:row>
    <x:row r="72" ht="25" customHeight="1">
      <x:c r="A72" s="13" t="n">
        <x:v>7</x:v>
      </x:c>
      <x:c r="B72" s="14" t="n">
        <x:v>2</x:v>
      </x:c>
      <x:c r="C72" s="15" t="str">
        <x:v>4; 5</x:v>
      </x:c>
      <x:c r="D72" s="16" t="n">
        <x:f>MAX(E69,E70)</x:f>
        <x:v>11</x:v>
      </x:c>
      <x:c r="E72" s="16" t="n">
        <x:f>D72+B72</x:f>
        <x:v>13</x:v>
      </x:c>
      <x:c r="F72" s="2"/>
      <x:c r="G72" s="2"/>
    </x:row>
    <x:row r="73" ht="25" customHeight="1">
      <x:c r="A73" s="13" t="n">
        <x:v>8</x:v>
      </x:c>
      <x:c r="B73" s="14" t="n">
        <x:v>1</x:v>
      </x:c>
      <x:c r="C73" s="15" t="str">
        <x:v>6; 7</x:v>
      </x:c>
      <x:c r="D73" s="16" t="n">
        <x:f>MAX(E71,E72)</x:f>
        <x:v>15</x:v>
      </x:c>
      <x:c r="E73" s="16" t="n">
        <x:f>D73+B73</x:f>
        <x:v>16</x:v>
      </x:c>
      <x:c r="F73" s="2"/>
      <x:c r="G73" s="2"/>
    </x:row>
    <x:row r="74" ht="25" customHeight="1">
      <x:c r="A74" s="2"/>
      <x:c r="B74" s="2"/>
      <x:c r="C74" s="2"/>
      <x:c r="D74" s="2"/>
      <x:c r="E74" s="2"/>
      <x:c r="F74" s="2"/>
      <x:c r="G74" s="2"/>
    </x:row>
    <x:row r="75" ht="25" customHeight="1">
      <x:c r="A75" s="2"/>
      <x:c r="B75" s="2"/>
      <x:c r="C75" s="17" t="str">
        <x:v>Все готовы, мс</x:v>
      </x:c>
      <x:c r="D75" s="17"/>
      <x:c r="E75" s="17" t="n">
        <x:f>MAX(E66:E73)</x:f>
        <x:v>16</x:v>
      </x:c>
      <x:c r="F75" s="2"/>
      <x:c r="G75" s="2"/>
    </x:row>
    <x:row r="76" ht="25" customHeight="1">
      <x:c r="A76" s="2"/>
      <x:c r="B76" s="2"/>
      <x:c r="C76" s="2"/>
      <x:c r="D76" s="2"/>
      <x:c r="E76" s="2"/>
      <x:c r="F76" s="2"/>
      <x:c r="G76" s="2"/>
    </x:row>
    <x:row r="77" ht="25" customHeight="1">
      <x:c r="A77" s="2"/>
      <x:c r="B77" s="2"/>
      <x:c r="C77" s="2"/>
      <x:c r="D77" s="2"/>
      <x:c r="E77" s="2"/>
      <x:c r="F77" s="2"/>
      <x:c r="G77" s="2"/>
    </x:row>
    <x:row r="78" ht="25" customHeight="1">
      <x:c r="A78" s="2"/>
      <x:c r="B78" s="2"/>
      <x:c r="C78" s="2"/>
      <x:c r="D78" s="2"/>
      <x:c r="E78" s="2"/>
      <x:c r="F78" s="2"/>
      <x:c r="G78" s="2"/>
    </x:row>
    <x:row r="79" ht="25" customHeight="1">
      <x:c r="A79" s="2"/>
      <x:c r="B79" s="2"/>
      <x:c r="C79" s="2"/>
      <x:c r="D79" s="2"/>
      <x:c r="E79" s="2"/>
      <x:c r="F79" s="2"/>
      <x:c r="G79" s="2"/>
    </x:row>
    <x:row r="80" ht="25" customHeight="1">
      <x:c r="A80" s="2"/>
      <x:c r="B80" s="2"/>
      <x:c r="C80" s="2"/>
      <x:c r="D80" s="2"/>
      <x:c r="E80" s="2"/>
      <x:c r="F80" s="2"/>
      <x:c r="G80" s="2"/>
    </x:row>
    <x:row r="81" ht="25" customHeight="1">
      <x:c r="A81" s="2"/>
      <x:c r="B81" s="2"/>
      <x:c r="C81" s="2"/>
      <x:c r="D81" s="2"/>
      <x:c r="E81" s="2"/>
      <x:c r="F81" s="2"/>
      <x:c r="G81" s="2"/>
    </x:row>
    <x:row r="82" ht="64" customHeight="1">
      <x:c r="A82" s="38" t="str">
        <x:v>6. Ограничение двумя исполнителями</x:v>
      </x:c>
      <x:c r="B82" s="2"/>
      <x:c r="C82" s="2"/>
      <x:c r="D82" s="2"/>
      <x:c r="E82" s="2"/>
      <x:c r="F82" s="2"/>
      <x:c r="G82" s="19" t="str">
        <x:v>Одновременно работают не более 2 процессов. Из готовых выбирают меньший ID. Пауза внутри процесса запрещена. Постройте расписание и найдите общее время.</x:v>
      </x:c>
    </x:row>
    <x:row r="83" ht="25" customHeight="1">
      <x:c r="A83" s="2"/>
      <x:c r="B83" s="2"/>
      <x:c r="C83" s="2"/>
      <x:c r="D83" s="2"/>
      <x:c r="E83" s="2"/>
      <x:c r="F83" s="2"/>
      <x:c r="G83" s="2"/>
    </x:row>
    <x:row r="84" ht="38" customHeight="1">
      <x:c r="A84" s="9" t="str">
        <x:v>ID</x:v>
      </x:c>
      <x:c r="B84" s="9" t="str">
        <x:v>Длительность, мс</x:v>
      </x:c>
      <x:c r="C84" s="9" t="str">
        <x:v>Зависит от ID</x:v>
      </x:c>
      <x:c r="D84" s="9" t="str">
        <x:v>Начало, мс</x:v>
      </x:c>
      <x:c r="E84" s="9" t="str">
        <x:v>Окончание, мс</x:v>
      </x:c>
      <x:c r="F84" s="2"/>
      <x:c r="G84" s="2"/>
    </x:row>
    <x:row r="85" ht="64" customHeight="1">
      <x:c r="A85" s="13" t="n">
        <x:v>1</x:v>
      </x:c>
      <x:c r="B85" s="14" t="n">
        <x:v>4</x:v>
      </x:c>
      <x:c r="C85" s="15" t="str">
        <x:v>0</x:v>
      </x:c>
      <x:c r="D85" s="16" t="n">
        <x:f>0</x:f>
        <x:v>0</x:v>
      </x:c>
      <x:c r="E85" s="16" t="n">
        <x:f>D85+B85</x:f>
        <x:v>4</x:v>
      </x:c>
      <x:c r="F85" s="2"/>
      <x:c r="G85" s="19" t="str">
        <x:v>Старты: 0, 0, 4, 4, 7. Окончания: 4, 4, 7, 6, 8. Все готовы за 8 мс.</x:v>
      </x:c>
    </x:row>
    <x:row r="86" ht="25" customHeight="1">
      <x:c r="A86" s="13" t="n">
        <x:v>2</x:v>
      </x:c>
      <x:c r="B86" s="14" t="n">
        <x:v>4</x:v>
      </x:c>
      <x:c r="C86" s="15" t="str">
        <x:v>0</x:v>
      </x:c>
      <x:c r="D86" s="16" t="n">
        <x:f>0</x:f>
        <x:v>0</x:v>
      </x:c>
      <x:c r="E86" s="16" t="n">
        <x:f>D86+B86</x:f>
        <x:v>4</x:v>
      </x:c>
      <x:c r="F86" s="2"/>
      <x:c r="G86" s="2"/>
    </x:row>
    <x:row r="87" ht="25" customHeight="1">
      <x:c r="A87" s="13" t="n">
        <x:v>3</x:v>
      </x:c>
      <x:c r="B87" s="14" t="n">
        <x:v>3</x:v>
      </x:c>
      <x:c r="C87" s="15" t="str">
        <x:v>0</x:v>
      </x:c>
      <x:c r="D87" s="16" t="n">
        <x:f>4</x:f>
        <x:v>4</x:v>
      </x:c>
      <x:c r="E87" s="16" t="n">
        <x:f>D87+B87</x:f>
        <x:v>7</x:v>
      </x:c>
      <x:c r="F87" s="2"/>
      <x:c r="G87" s="2"/>
    </x:row>
    <x:row r="88" ht="76" customHeight="1">
      <x:c r="A88" s="13" t="n">
        <x:v>4</x:v>
      </x:c>
      <x:c r="B88" s="14" t="n">
        <x:v>2</x:v>
      </x:c>
      <x:c r="C88" s="15" t="str">
        <x:v>1</x:v>
      </x:c>
      <x:c r="D88" s="16" t="n">
        <x:f>4</x:f>
        <x:v>4</x:v>
      </x:c>
      <x:c r="E88" s="16" t="n">
        <x:f>D88+B88</x:f>
        <x:v>6</x:v>
      </x:c>
      <x:c r="F88" s="2"/>
      <x:c r="G88" s="19" t="str">
        <x:v>t=0: запуск 1 и 2. t=4: они завершились, запуск 3 и 4. t=6: завершился 4, но 5 ждёт 3. t=7: запуск 5. t=8: конец.</x:v>
      </x:c>
    </x:row>
    <x:row r="89" ht="25" customHeight="1">
      <x:c r="A89" s="13" t="n">
        <x:v>5</x:v>
      </x:c>
      <x:c r="B89" s="14" t="n">
        <x:v>1</x:v>
      </x:c>
      <x:c r="C89" s="15" t="str">
        <x:v>2; 3</x:v>
      </x:c>
      <x:c r="D89" s="16" t="n">
        <x:f>7</x:f>
        <x:v>7</x:v>
      </x:c>
      <x:c r="E89" s="16" t="n">
        <x:f>D89+B89</x:f>
        <x:v>8</x:v>
      </x:c>
      <x:c r="F89" s="2"/>
      <x:c r="G89" s="2"/>
    </x:row>
    <x:row r="90" ht="25" customHeight="1">
      <x:c r="A90" s="2"/>
      <x:c r="B90" s="2"/>
      <x:c r="C90" s="2"/>
      <x:c r="D90" s="2"/>
      <x:c r="E90" s="2"/>
      <x:c r="F90" s="2"/>
      <x:c r="G90" s="2"/>
    </x:row>
    <x:row r="91" ht="48" customHeight="1">
      <x:c r="A91" s="2"/>
      <x:c r="B91" s="2"/>
      <x:c r="C91" s="17" t="str">
        <x:v>Все готовы, мс</x:v>
      </x:c>
      <x:c r="D91" s="17"/>
      <x:c r="E91" s="17" t="n">
        <x:f>MAX(E85:E89)</x:f>
        <x:v>8</x:v>
      </x:c>
      <x:c r="F91" s="2"/>
      <x:c r="G91" s="19" t="str">
        <x:v>При изменении длительностей в этой задаче расписание нужно построить заново.</x:v>
      </x:c>
    </x:row>
    <x:row r="92" ht="25" customHeight="1">
      <x:c r="A92" s="2"/>
      <x:c r="B92" s="2"/>
      <x:c r="C92" s="2"/>
      <x:c r="D92" s="2"/>
      <x:c r="E92" s="2"/>
      <x:c r="F92" s="2"/>
      <x:c r="G92" s="2"/>
    </x:row>
    <x:row r="93" ht="25" customHeight="1">
      <x:c r="A93" s="2"/>
      <x:c r="B93" s="2"/>
      <x:c r="C93" s="2"/>
      <x:c r="D93" s="2"/>
      <x:c r="E93" s="2"/>
      <x:c r="F93" s="2"/>
      <x:c r="G93" s="2"/>
    </x:row>
    <x:row r="94" ht="25" customHeight="1">
      <x:c r="A94" s="2"/>
      <x:c r="B94" s="2"/>
      <x:c r="C94" s="2"/>
      <x:c r="D94" s="2"/>
      <x:c r="E94" s="2"/>
      <x:c r="F94" s="2"/>
      <x:c r="G94" s="2"/>
    </x:row>
    <x:row r="95" ht="25" customHeight="1">
      <x:c r="A95" s="2"/>
      <x:c r="B95" s="2"/>
      <x:c r="C95" s="2"/>
      <x:c r="D95" s="2"/>
      <x:c r="E95" s="2"/>
      <x:c r="F95" s="2"/>
      <x:c r="G95" s="2"/>
    </x:row>
    <x:row r="96" ht="25" customHeight="1">
      <x:c r="A96" s="2"/>
      <x:c r="B96" s="2"/>
      <x:c r="C96" s="2"/>
      <x:c r="D96" s="2"/>
      <x:c r="E96" s="2"/>
      <x:c r="F96" s="2"/>
      <x:c r="G96" s="2"/>
    </x:row>
    <x:row r="97" ht="25" customHeight="1">
      <x:c r="A97" s="2"/>
      <x:c r="B97" s="2"/>
      <x:c r="C97" s="2"/>
      <x:c r="D97" s="2"/>
      <x:c r="E97" s="2"/>
      <x:c r="F97" s="2"/>
      <x:c r="G97" s="2"/>
    </x:row>
    <x:row r="98" ht="25" customHeight="1">
      <x:c r="A98" s="2"/>
      <x:c r="B98" s="2"/>
      <x:c r="C98" s="2"/>
      <x:c r="D98" s="2"/>
      <x:c r="E98" s="2"/>
      <x:c r="F98" s="2"/>
      <x:c r="G98" s="2"/>
    </x:row>
    <x:row r="99" ht="25" customHeight="1">
      <x:c r="A99" s="2"/>
      <x:c r="B99" s="2"/>
      <x:c r="C99" s="2"/>
      <x:c r="D99" s="2"/>
      <x:c r="E99" s="2"/>
      <x:c r="F99" s="2"/>
      <x:c r="G99" s="2"/>
    </x:row>
    <x:row r="100" ht="25" customHeight="1">
      <x:c r="A100" s="2"/>
      <x:c r="B100" s="2"/>
      <x:c r="C100" s="2"/>
      <x:c r="D100" s="2"/>
      <x:c r="E100" s="2"/>
      <x:c r="F100" s="2"/>
      <x:c r="G100" s="2"/>
    </x:row>
  </x:sheetData>
  <x:pageMargins left="0.7" right="0.7" top="0.75" bottom="0.75" header="0.3" footer="0.3"/>
</x:worksheet>
</file>