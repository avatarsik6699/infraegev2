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06182a5bd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ктика" sheetId="1" r:id="R015b63b711ab4b32"/>
    <x:sheet xmlns:r="http://schemas.openxmlformats.org/officeDocument/2006/relationships" name="Разбор" sheetId="2" r:id="Re85708f4ad1b4109"/>
    <x:sheet xmlns:r="http://schemas.openxmlformats.org/officeDocument/2006/relationships" name="Магазин" sheetId="3" r:id="R447e7c0d31c94c92"/>
    <x:sheet xmlns:r="http://schemas.openxmlformats.org/officeDocument/2006/relationships" name="Товар" sheetId="4" r:id="Raa7de71304d94423"/>
    <x:sheet xmlns:r="http://schemas.openxmlformats.org/officeDocument/2006/relationships" name="Движение" sheetId="5" r:id="Rebffc20d7cf7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dd/mm/yyyy"/>
  </x:numFmts>
  <x:fonts count="6">
    <x:font>
      <x:sz val="11"/>
      <x:name val="Carlito"/>
    </x:font>
    <x:font>
      <x:sz val="11"/>
      <x:color rgb="FF242424"/>
      <x:name val="Arial"/>
    </x:font>
    <x:font>
      <x:b/>
      <x:sz val="11"/>
      <x:color rgb="FFFFFFFF"/>
      <x:name val="Arial"/>
    </x:font>
    <x:font>
      <x:i/>
      <x:sz val="10"/>
      <x:color rgb="FF666666"/>
      <x:name val="Arial"/>
    </x:font>
    <x:font>
      <x:b/>
      <x:sz val="15"/>
      <x:color rgb="FF242424"/>
      <x:name val="Arial"/>
    </x:font>
    <x:font>
      <x:b/>
      <x:sz val="17"/>
      <x:color rgb="FF24242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3535"/>
      </x:patternFill>
    </x:fill>
    <x:fill>
      <x:patternFill patternType="solid">
        <x:fgColor rgb="FFEAF1F4"/>
      </x:patternFill>
    </x:fill>
    <x:fill>
      <x:patternFill patternType="solid">
        <x:fgColor rgb="FFFFF1C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4fe3fa1444497" /><Relationship Type="http://schemas.openxmlformats.org/officeDocument/2006/relationships/theme" Target="/xl/theme/theme1.xml" Id="Rf702170e6c92429a" /><Relationship Type="http://schemas.openxmlformats.org/officeDocument/2006/relationships/sharedStrings" Target="/xl/sharedStrings.xml" Id="Rd39016934dfd4781" /><Relationship Type="http://schemas.openxmlformats.org/officeDocument/2006/relationships/worksheet" Target="/xl/worksheets/sheet1.xml" Id="R015b63b711ab4b32" /><Relationship Type="http://schemas.openxmlformats.org/officeDocument/2006/relationships/worksheet" Target="/xl/worksheets/sheet2.xml" Id="Re85708f4ad1b4109" /><Relationship Type="http://schemas.openxmlformats.org/officeDocument/2006/relationships/worksheet" Target="/xl/worksheets/sheet3.xml" Id="R447e7c0d31c94c92" /><Relationship Type="http://schemas.openxmlformats.org/officeDocument/2006/relationships/worksheet" Target="/xl/worksheets/sheet4.xml" Id="Raa7de71304d94423" /><Relationship Type="http://schemas.openxmlformats.org/officeDocument/2006/relationships/worksheet" Target="/xl/worksheets/sheet5.xml" Id="Rebffc20d7cf74e92" /></Relationships>
</file>

<file path=xl/tables/table1.xml><?xml version="1.0" encoding="utf-8"?>
<x:table xmlns:x="http://schemas.openxmlformats.org/spreadsheetml/2006/main" id="4" name="JoinedOperations" displayName="JoinedOperations" ref="A1:Q13" headerRowCount="1" totalsRowCount="0" totalsRowShown="0">
  <x:autoFilter ref="A1:Q13"/>
  <x:tableColumns count="17">
    <x:tableColumn id="1" name="ID операции"/>
    <x:tableColumn id="2" name="Дата"/>
    <x:tableColumn id="3" name="ID магазина"/>
    <x:tableColumn id="4" name="Артикул"/>
    <x:tableColumn id="5" name="Тип операции"/>
    <x:tableColumn id="6" name="Упаковок, шт."/>
    <x:tableColumn id="7" name="Цена, руб./уп."/>
    <x:tableColumn id="8" name="Район"/>
    <x:tableColumn id="9" name="Поставщик"/>
    <x:tableColumn id="10" name="Ед. изм."/>
    <x:tableColumn id="11" name="В упаковке"/>
    <x:tableColumn id="12" name="Масса, кг"/>
    <x:tableColumn id="13" name="Стоимость, руб."/>
    <x:tableColumn id="14" name="Изменение, уп."/>
    <x:tableColumn id="15" name="Изменение, кг"/>
    <x:tableColumn id="16" name="Подходит: 1 / 0"/>
    <x:tableColumn id="17" name="Учтённая масса, к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oresData" displayName="StoresData" ref="A1:C4" headerRowCount="1" totalsRowCount="0" totalsRowShown="0">
  <x:autoFilter ref="A1:C4"/>
  <x:tableColumns count="3">
    <x:tableColumn id="1" name="ID магазина"/>
    <x:tableColumn id="2" name="Район"/>
    <x:tableColumn id="3" name="Адре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ductsData" displayName="ProductsData" ref="A1:F4" headerRowCount="1" totalsRowCount="0" totalsRowShown="0">
  <x:autoFilter ref="A1:F4"/>
  <x:tableColumns count="6">
    <x:tableColumn id="1" name="Артикул"/>
    <x:tableColumn id="2" name="Отдел"/>
    <x:tableColumn id="3" name="Наименование"/>
    <x:tableColumn id="4" name="Ед. изм."/>
    <x:tableColumn id="5" name="Количество в упаковке"/>
    <x:tableColumn id="6" name="Поставщ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ovementData" displayName="MovementData" ref="A1:G13" headerRowCount="1" totalsRowCount="0" totalsRowShown="0">
  <x:autoFilter ref="A1:G13"/>
  <x:tableColumns count="7">
    <x:tableColumn id="1" name="ID операции"/>
    <x:tableColumn id="2" name="Дата"/>
    <x:tableColumn id="3" name="ID магазина"/>
    <x:tableColumn id="4" name="Артикул"/>
    <x:tableColumn id="5" name="Тип операции"/>
    <x:tableColumn id="6" name="Упаковок, шт."/>
    <x:tableColumn id="7" name="Цена, руб./уп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b114f53929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518085db19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481675509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2fad15de14d66" /></Relationships>
</file>

<file path=xl/worksheets/sheet1.xml><?xml version="1.0" encoding="utf-8"?>
<x:worksheet xmlns:x="http://schemas.openxmlformats.org/spreadsheetml/2006/main">
  <x:sheetPr>
    <x:tabColor rgb="FFD96827"/>
  </x:sheetPr>
  <x:sheetViews>
    <x:sheetView showGridLines="0" workbookViewId="0"/>
  </x:sheetViews>
  <x:sheetFormatPr defaultRowHeight="15"/>
  <x:cols>
    <x:col min="1" max="1" width="7" hidden="0" customWidth="1"/>
    <x:col min="2" max="2" width="78" hidden="0" customWidth="1"/>
    <x:col min="3" max="3" width="18" hidden="0" customWidth="1"/>
    <x:col min="4" max="4" width="19" hidden="0" customWidth="1"/>
    <x:col min="5" max="5" width="22" hidden="0" customWidth="1"/>
  </x:cols>
  <x:sheetData>
    <x:row r="1" ht="27" customHeight="1">
      <x:c r="A1" s="2"/>
      <x:c r="B1" s="2"/>
      <x:c r="C1" s="2"/>
      <x:c r="D1" s="2"/>
      <x:c r="E1" s="2"/>
    </x:row>
    <x:row r="2" ht="27" customHeight="1">
      <x:c r="A2" s="20" t="str">
        <x:v>Задание 3. Связанные таблицы</x:v>
      </x:c>
      <x:c r="B2" s="2"/>
      <x:c r="C2" s="2"/>
      <x:c r="D2" s="2"/>
      <x:c r="E2" s="2"/>
    </x:row>
    <x:row r="3" ht="27" customHeight="1">
      <x:c r="A3" s="2"/>
      <x:c r="B3" s="2"/>
      <x:c r="C3" s="2"/>
      <x:c r="D3" s="2"/>
      <x:c r="E3" s="2"/>
    </x:row>
    <x:row r="4" ht="47" customHeight="1">
      <x:c r="A4" s="2"/>
      <x:c r="B4" s="18" t="str">
        <x:v>Используй исходные листы «Магазин», «Товар» и «Движение». Впиши ответы в жёлтые ячейки. Лист «Разбор» содержит формулы.</x:v>
      </x:c>
      <x:c r="C4" s="2"/>
      <x:c r="D4" s="2"/>
      <x:c r="E4" s="2"/>
    </x:row>
    <x:row r="5" ht="27" customHeight="1">
      <x:c r="A5" s="2"/>
      <x:c r="B5" s="2" t="str">
        <x:v>Во всех вопросах: период с 1 по 10 июня 2026 года включительно.</x:v>
      </x:c>
      <x:c r="C5" s="2"/>
      <x:c r="D5" s="2"/>
      <x:c r="E5" s="2"/>
    </x:row>
    <x:row r="6" ht="27" customHeight="1">
      <x:c r="A6" s="2"/>
      <x:c r="B6" s="2" t="str">
        <x:v>Цена в исходных данных дана за одну упаковку.</x:v>
      </x:c>
      <x:c r="C6" s="2"/>
      <x:c r="D6" s="2"/>
      <x:c r="E6" s="2"/>
    </x:row>
    <x:row r="7" ht="27" customHeight="1">
      <x:c r="A7" s="2"/>
      <x:c r="B7" s="2"/>
      <x:c r="C7" s="2"/>
      <x:c r="D7" s="2"/>
      <x:c r="E7" s="2"/>
    </x:row>
    <x:row r="8" ht="45" customHeight="1">
      <x:c r="A8" s="7" t="str">
        <x:v>№</x:v>
      </x:c>
      <x:c r="B8" s="8" t="str">
        <x:v>Вопрос</x:v>
      </x:c>
      <x:c r="C8" s="8" t="str">
        <x:v>Единица</x:v>
      </x:c>
      <x:c r="D8" s="8" t="str">
        <x:v>Твой ответ</x:v>
      </x:c>
      <x:c r="E8" s="9" t="str">
        <x:v>Проверка</x:v>
      </x:c>
    </x:row>
    <x:row r="9" ht="48" customHeight="1">
      <x:c r="A9" s="2" t="n">
        <x:v>1</x:v>
      </x:c>
      <x:c r="B9" s="18" t="str">
        <x:v>Сколько кг товаров фабрики А продано в магазинах Северного района?</x:v>
      </x:c>
      <x:c r="C9" s="2" t="str">
        <x:v>кг</x:v>
      </x:c>
      <x:c r="D9" s="22"/>
      <x:c r="E9" s="2" t="str">
        <x:f>IF(D9="","",IF(D9='Разбор'!C18,"Верно","Проверь"))</x:f>
      </x:c>
    </x:row>
    <x:row r="10" ht="48" customHeight="1">
      <x:c r="A10" s="2" t="n">
        <x:v>2</x:v>
      </x:c>
      <x:c r="B10" s="18" t="str">
        <x:v>Сколько упаковок товаров фабрики А продано в Северном районе?</x:v>
      </x:c>
      <x:c r="C10" s="2" t="str">
        <x:v>упаковки</x:v>
      </x:c>
      <x:c r="D10" s="23"/>
      <x:c r="E10" s="2" t="str">
        <x:f>IF(D10="","",IF(D10='Разбор'!C19,"Верно","Проверь"))</x:f>
      </x:c>
    </x:row>
    <x:row r="11" ht="48" customHeight="1">
      <x:c r="A11" s="2" t="n">
        <x:v>3</x:v>
      </x:c>
      <x:c r="B11" s="18" t="str">
        <x:v>Какова выручка от этих продаж?</x:v>
      </x:c>
      <x:c r="C11" s="2" t="str">
        <x:v>рубли</x:v>
      </x:c>
      <x:c r="D11" s="23"/>
      <x:c r="E11" s="2" t="str">
        <x:f>IF(D11="","",IF(D11='Разбор'!C20,"Верно","Проверь"))</x:f>
      </x:c>
    </x:row>
    <x:row r="12" ht="48" customHeight="1">
      <x:c r="A12" s="2" t="n">
        <x:v>4</x:v>
      </x:c>
      <x:c r="B12" s="18" t="str">
        <x:v>Сколько стоила закупка товаров фабрики А для Северного района?</x:v>
      </x:c>
      <x:c r="C12" s="2" t="str">
        <x:v>рубли</x:v>
      </x:c>
      <x:c r="D12" s="23"/>
      <x:c r="E12" s="2" t="str">
        <x:f>IF(D12="","",IF(D12='Разбор'!C21,"Верно","Проверь"))</x:f>
      </x:c>
    </x:row>
    <x:row r="13" ht="48" customHeight="1">
      <x:c r="A13" s="2" t="n">
        <x:v>5</x:v>
      </x:c>
      <x:c r="B13" s="18" t="str">
        <x:v>На сколько упаковок изменился запас артикула 101 в Северном районе?</x:v>
      </x:c>
      <x:c r="C13" s="2" t="str">
        <x:v>упаковки</x:v>
      </x:c>
      <x:c r="D13" s="23"/>
      <x:c r="E13" s="2" t="str">
        <x:f>IF(D13="","",IF(D13='Разбор'!C22,"Верно","Проверь"))</x:f>
      </x:c>
    </x:row>
    <x:row r="14" ht="48" customHeight="1">
      <x:c r="A14" s="2" t="n">
        <x:v>6</x:v>
      </x:c>
      <x:c r="B14" s="18" t="str">
        <x:v>Сколько операций продажи соответствует основному условию?</x:v>
      </x:c>
      <x:c r="C14" s="2" t="str">
        <x:v>операции</x:v>
      </x:c>
      <x:c r="D14" s="23"/>
      <x:c r="E14" s="2" t="str">
        <x:f>IF(D14="","",IF(D14='Разбор'!C23,"Верно","Проверь"))</x:f>
      </x:c>
    </x:row>
    <x:row r="15" ht="48" customHeight="1">
      <x:c r="A15" s="2" t="n">
        <x:v>7</x:v>
      </x:c>
      <x:c r="B15" s="18" t="str">
        <x:v>Сколько разных магазинов совершили эти продажи?</x:v>
      </x:c>
      <x:c r="C15" s="2" t="str">
        <x:v>магазины</x:v>
      </x:c>
      <x:c r="D15" s="23"/>
      <x:c r="E15" s="2" t="str">
        <x:f>IF(D15="","",IF(D15='Разбор'!C24,"Верно","Проверь"))</x:f>
      </x:c>
    </x:row>
    <x:row r="16" ht="48" customHeight="1">
      <x:c r="A16" s="2" t="n">
        <x:v>8</x:v>
      </x:c>
      <x:c r="B16" s="18" t="str">
        <x:v>Сколько магазинов Северного района продали более 7 кг товаров фабрики А?</x:v>
      </x:c>
      <x:c r="C16" s="2" t="str">
        <x:v>магазины</x:v>
      </x:c>
      <x:c r="D16" s="23"/>
      <x:c r="E16" s="2" t="str">
        <x:f>IF(D16="","",IF(D16='Разбор'!C25,"Верно","Проверь"))</x:f>
      </x:c>
    </x:row>
    <x:row r="17" ht="27" customHeight="1">
      <x:c r="A17" s="2"/>
      <x:c r="B17" s="2"/>
      <x:c r="C17" s="2"/>
      <x:c r="D17" s="2"/>
      <x:c r="E17" s="2"/>
    </x:row>
    <x:row r="18" ht="27" customHeight="1">
      <x:c r="A18" s="2"/>
      <x:c r="B18" s="2"/>
      <x:c r="C18" s="2"/>
      <x:c r="D18" s="2"/>
      <x:c r="E18" s="2"/>
    </x:row>
    <x:row r="19" ht="27" customHeight="1">
      <x:c r="A19" s="2"/>
      <x:c r="B19" s="2" t="str">
        <x:v>Жёлтые ячейки предназначены для твоих ответов.</x:v>
      </x:c>
      <x:c r="C19" s="2"/>
      <x:c r="D19" s="2"/>
      <x:c r="E19" s="2"/>
    </x:row>
    <x:row r="20" ht="27" customHeight="1">
      <x:c r="A20" s="2"/>
      <x:c r="B20" s="2" t="str">
        <x:v>Чтобы тренировать формулы, добавляй свои столбцы на листе «Движение».</x:v>
      </x:c>
      <x:c r="C20" s="2"/>
      <x:c r="D20" s="2"/>
      <x:c r="E20" s="2"/>
    </x:row>
    <x:row r="21" ht="27" customHeight="1">
      <x:c r="A21" s="2"/>
      <x:c r="B21" s="2" t="str">
        <x:v>Ответы проверяются автоматически. Исходные данные можно менять.</x:v>
      </x:c>
      <x:c r="C21" s="2"/>
      <x:c r="D21" s="2"/>
      <x:c r="E21" s="2"/>
    </x:row>
    <x:row r="22" ht="27" customHeight="1">
      <x:c r="A22" s="2"/>
      <x:c r="B22" s="2"/>
      <x:c r="C22" s="2"/>
      <x:c r="D22" s="2"/>
      <x:c r="E22" s="2"/>
    </x:row>
    <x:row r="23" ht="27" customHeight="1">
      <x:c r="A23" s="2"/>
      <x:c r="B23" s="2" t="str">
        <x:v>Вопрос 5 просит изменение запаса. Начальный запас для этого не нужен.</x:v>
      </x:c>
      <x:c r="C23" s="2"/>
      <x:c r="D23" s="2"/>
      <x:c r="E23" s="2"/>
    </x:row>
    <x:row r="24" ht="27" customHeight="1">
      <x:c r="A24" s="2"/>
      <x:c r="B24" s="2"/>
      <x:c r="C24" s="2"/>
      <x:c r="D24" s="2"/>
      <x:c r="E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35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14" hidden="0" customWidth="1"/>
    <x:col min="5" max="5" width="22" hidden="0" customWidth="1"/>
    <x:col min="6" max="6" width="19" hidden="0" customWidth="1"/>
    <x:col min="7" max="7" width="23" hidden="0" customWidth="1"/>
    <x:col min="8" max="8" width="20" hidden="0" customWidth="1"/>
    <x:col min="9" max="9" width="23" hidden="0" customWidth="1"/>
    <x:col min="10" max="10" width="14" hidden="0" customWidth="1"/>
    <x:col min="11" max="11" width="23" hidden="0" customWidth="1"/>
    <x:col min="12" max="12" width="22" hidden="0" customWidth="1"/>
    <x:col min="13" max="13" width="23" hidden="0" customWidth="1"/>
    <x:col min="14" max="14" width="23" hidden="0" customWidth="1"/>
    <x:col min="15" max="15" width="23" hidden="0" customWidth="1"/>
    <x:col min="16" max="16" width="22" hidden="0" customWidth="1"/>
    <x:col min="17" max="17" width="22" hidden="0" customWidth="1"/>
  </x:cols>
  <x:sheetData>
    <x:row r="1" ht="45" customHeight="1">
      <x:c r="A1" s="7" t="str">
        <x:v>ID операции</x:v>
      </x:c>
      <x:c r="B1" s="8" t="str">
        <x:v>Дата</x:v>
      </x:c>
      <x:c r="C1" s="8" t="str">
        <x:v>ID магазина</x:v>
      </x:c>
      <x:c r="D1" s="8" t="str">
        <x:v>Артикул</x:v>
      </x:c>
      <x:c r="E1" s="8" t="str">
        <x:v>Тип операции</x:v>
      </x:c>
      <x:c r="F1" s="8" t="str">
        <x:v>Упаковок, шт.</x:v>
      </x:c>
      <x:c r="G1" s="8" t="str">
        <x:v>Цена, руб./уп.</x:v>
      </x:c>
      <x:c r="H1" s="8" t="str">
        <x:v>Район</x:v>
      </x:c>
      <x:c r="I1" s="8" t="str">
        <x:v>Поставщик</x:v>
      </x:c>
      <x:c r="J1" s="8" t="str">
        <x:v>Ед. изм.</x:v>
      </x:c>
      <x:c r="K1" s="8" t="str">
        <x:v>В упаковке</x:v>
      </x:c>
      <x:c r="L1" s="8" t="str">
        <x:v>Масса, кг</x:v>
      </x:c>
      <x:c r="M1" s="8" t="str">
        <x:v>Стоимость, руб.</x:v>
      </x:c>
      <x:c r="N1" s="8" t="str">
        <x:v>Изменение, уп.</x:v>
      </x:c>
      <x:c r="O1" s="8" t="str">
        <x:v>Изменение, кг</x:v>
      </x:c>
      <x:c r="P1" s="8" t="str">
        <x:v>Подходит: 1 / 0</x:v>
      </x:c>
      <x:c r="Q1" s="9" t="str">
        <x:v>Учтённая масса, кг</x:v>
      </x:c>
    </x:row>
    <x:row r="2" ht="27" customHeight="1">
      <x:c r="A2" s="2" t="n">
        <x:f>'Движение'!A2</x:f>
        <x:v>1</x:v>
      </x:c>
      <x:c r="B2" s="13" t="n">
        <x:f>'Движение'!B2</x:f>
        <x:v>46174</x:v>
      </x:c>
      <x:c r="C2" s="2" t="str">
        <x:f>'Движение'!C2</x:f>
        <x:v>M1</x:v>
      </x:c>
      <x:c r="D2" s="2" t="n">
        <x:f>'Движение'!D2</x:f>
        <x:v>101</x:v>
      </x:c>
      <x:c r="E2" s="2" t="str">
        <x:f>'Движение'!E2</x:f>
        <x:v>Поступление</x:v>
      </x:c>
      <x:c r="F2" s="2" t="n">
        <x:f>'Движение'!F2</x:f>
        <x:v>20</x:v>
      </x:c>
      <x:c r="G2" s="2" t="n">
        <x:f>'Движение'!G2</x:f>
        <x:v>60</x:v>
      </x:c>
      <x:c r="H2" s="14" t="str">
        <x:f>VLOOKUP(C2,'Магазин'!$A$2:$C$4,2,FALSE)</x:f>
        <x:v>Северный</x:v>
      </x:c>
      <x:c r="I2" s="14" t="str">
        <x:f>VLOOKUP(D2,'Товар'!$A$2:$F$4,6,FALSE)</x:f>
        <x:v>Фабрика А</x:v>
      </x:c>
      <x:c r="J2" s="14" t="str">
        <x:f>VLOOKUP(D2,'Товар'!$A$2:$F$4,4,FALSE)</x:f>
        <x:v>кг</x:v>
      </x:c>
      <x:c r="K2" s="15" t="n">
        <x:f>VLOOKUP(D2,'Товар'!$A$2:$F$4,5,FALSE)</x:f>
        <x:v>0.5</x:v>
      </x:c>
      <x:c r="L2" s="15" t="n">
        <x:f>F2*K2</x:f>
        <x:v>10</x:v>
      </x:c>
      <x:c r="M2" s="16" t="n">
        <x:f>F2*G2</x:f>
        <x:v>1200</x:v>
      </x:c>
      <x:c r="N2" s="16" t="n">
        <x:f>IF(E2="Поступление",F2,-F2)</x:f>
        <x:v>20</x:v>
      </x:c>
      <x:c r="O2" s="15" t="n">
        <x:f>N2*K2</x:f>
        <x:v>10</x:v>
      </x:c>
      <x:c r="P2" s="14" t="n">
        <x:f>IF(AND(H2="Северный",I2="Фабрика А",E2="Продажа",B2&gt;=DATE(2026,6,1),B2&lt;=DATE(2026,6,10)),1,0)</x:f>
        <x:v>0</x:v>
      </x:c>
      <x:c r="Q2" s="15" t="n">
        <x:f>IF(P2=1,L2,0)</x:f>
        <x:v>0</x:v>
      </x:c>
    </x:row>
    <x:row r="3" ht="27" customHeight="1">
      <x:c r="A3" s="2" t="n">
        <x:f>'Движение'!A3</x:f>
        <x:v>2</x:v>
      </x:c>
      <x:c r="B3" s="13" t="n">
        <x:f>'Движение'!B3</x:f>
        <x:v>46175</x:v>
      </x:c>
      <x:c r="C3" s="2" t="str">
        <x:f>'Движение'!C3</x:f>
        <x:v>M1</x:v>
      </x:c>
      <x:c r="D3" s="2" t="n">
        <x:f>'Движение'!D3</x:f>
        <x:v>101</x:v>
      </x:c>
      <x:c r="E3" s="2" t="str">
        <x:f>'Движение'!E3</x:f>
        <x:v>Продажа</x:v>
      </x:c>
      <x:c r="F3" s="2" t="n">
        <x:f>'Движение'!F3</x:f>
        <x:v>8</x:v>
      </x:c>
      <x:c r="G3" s="2" t="n">
        <x:f>'Движение'!G3</x:f>
        <x:v>80</x:v>
      </x:c>
      <x:c r="H3" s="14" t="str">
        <x:f>VLOOKUP(C3,'Магазин'!$A$2:$C$4,2,FALSE)</x:f>
        <x:v>Северный</x:v>
      </x:c>
      <x:c r="I3" s="14" t="str">
        <x:f>VLOOKUP(D3,'Товар'!$A$2:$F$4,6,FALSE)</x:f>
        <x:v>Фабрика А</x:v>
      </x:c>
      <x:c r="J3" s="14" t="str">
        <x:f>VLOOKUP(D3,'Товар'!$A$2:$F$4,4,FALSE)</x:f>
        <x:v>кг</x:v>
      </x:c>
      <x:c r="K3" s="15" t="n">
        <x:f>VLOOKUP(D3,'Товар'!$A$2:$F$4,5,FALSE)</x:f>
        <x:v>0.5</x:v>
      </x:c>
      <x:c r="L3" s="15" t="n">
        <x:f>F3*K3</x:f>
        <x:v>4</x:v>
      </x:c>
      <x:c r="M3" s="16" t="n">
        <x:f>F3*G3</x:f>
        <x:v>640</x:v>
      </x:c>
      <x:c r="N3" s="16" t="n">
        <x:f>IF(E3="Поступление",F3,-F3)</x:f>
        <x:v>-8</x:v>
      </x:c>
      <x:c r="O3" s="15" t="n">
        <x:f>N3*K3</x:f>
        <x:v>-4</x:v>
      </x:c>
      <x:c r="P3" s="14" t="n">
        <x:f>IF(AND(H3="Северный",I3="Фабрика А",E3="Продажа",B3&gt;=DATE(2026,6,1),B3&lt;=DATE(2026,6,10)),1,0)</x:f>
        <x:v>1</x:v>
      </x:c>
      <x:c r="Q3" s="15" t="n">
        <x:f>IF(P3=1,L3,0)</x:f>
        <x:v>4</x:v>
      </x:c>
    </x:row>
    <x:row r="4" ht="27" customHeight="1">
      <x:c r="A4" s="2" t="n">
        <x:f>'Движение'!A4</x:f>
        <x:v>3</x:v>
      </x:c>
      <x:c r="B4" s="13" t="n">
        <x:f>'Движение'!B4</x:f>
        <x:v>46176</x:v>
      </x:c>
      <x:c r="C4" s="2" t="str">
        <x:f>'Движение'!C4</x:f>
        <x:v>M3</x:v>
      </x:c>
      <x:c r="D4" s="2" t="n">
        <x:f>'Движение'!D4</x:f>
        <x:v>101</x:v>
      </x:c>
      <x:c r="E4" s="2" t="str">
        <x:f>'Движение'!E4</x:f>
        <x:v>Продажа</x:v>
      </x:c>
      <x:c r="F4" s="2" t="n">
        <x:f>'Движение'!F4</x:f>
        <x:v>5</x:v>
      </x:c>
      <x:c r="G4" s="2" t="n">
        <x:f>'Движение'!G4</x:f>
        <x:v>90</x:v>
      </x:c>
      <x:c r="H4" s="14" t="str">
        <x:f>VLOOKUP(C4,'Магазин'!$A$2:$C$4,2,FALSE)</x:f>
        <x:v>Северный</x:v>
      </x:c>
      <x:c r="I4" s="14" t="str">
        <x:f>VLOOKUP(D4,'Товар'!$A$2:$F$4,6,FALSE)</x:f>
        <x:v>Фабрика А</x:v>
      </x:c>
      <x:c r="J4" s="14" t="str">
        <x:f>VLOOKUP(D4,'Товар'!$A$2:$F$4,4,FALSE)</x:f>
        <x:v>кг</x:v>
      </x:c>
      <x:c r="K4" s="15" t="n">
        <x:f>VLOOKUP(D4,'Товар'!$A$2:$F$4,5,FALSE)</x:f>
        <x:v>0.5</x:v>
      </x:c>
      <x:c r="L4" s="15" t="n">
        <x:f>F4*K4</x:f>
        <x:v>2.5</x:v>
      </x:c>
      <x:c r="M4" s="16" t="n">
        <x:f>F4*G4</x:f>
        <x:v>450</x:v>
      </x:c>
      <x:c r="N4" s="16" t="n">
        <x:f>IF(E4="Поступление",F4,-F4)</x:f>
        <x:v>-5</x:v>
      </x:c>
      <x:c r="O4" s="15" t="n">
        <x:f>N4*K4</x:f>
        <x:v>-2.5</x:v>
      </x:c>
      <x:c r="P4" s="14" t="n">
        <x:f>IF(AND(H4="Северный",I4="Фабрика А",E4="Продажа",B4&gt;=DATE(2026,6,1),B4&lt;=DATE(2026,6,10)),1,0)</x:f>
        <x:v>1</x:v>
      </x:c>
      <x:c r="Q4" s="15" t="n">
        <x:f>IF(P4=1,L4,0)</x:f>
        <x:v>2.5</x:v>
      </x:c>
    </x:row>
    <x:row r="5" ht="27" customHeight="1">
      <x:c r="A5" s="2" t="n">
        <x:f>'Движение'!A5</x:f>
        <x:v>4</x:v>
      </x:c>
      <x:c r="B5" s="13" t="n">
        <x:f>'Движение'!B5</x:f>
        <x:v>46176</x:v>
      </x:c>
      <x:c r="C5" s="2" t="str">
        <x:f>'Движение'!C5</x:f>
        <x:v>M2</x:v>
      </x:c>
      <x:c r="D5" s="2" t="n">
        <x:f>'Движение'!D5</x:f>
        <x:v>101</x:v>
      </x:c>
      <x:c r="E5" s="2" t="str">
        <x:f>'Движение'!E5</x:f>
        <x:v>Продажа</x:v>
      </x:c>
      <x:c r="F5" s="2" t="n">
        <x:f>'Движение'!F5</x:f>
        <x:v>7</x:v>
      </x:c>
      <x:c r="G5" s="2" t="n">
        <x:f>'Движение'!G5</x:f>
        <x:v>80</x:v>
      </x:c>
      <x:c r="H5" s="14" t="str">
        <x:f>VLOOKUP(C5,'Магазин'!$A$2:$C$4,2,FALSE)</x:f>
        <x:v>Южный</x:v>
      </x:c>
      <x:c r="I5" s="14" t="str">
        <x:f>VLOOKUP(D5,'Товар'!$A$2:$F$4,6,FALSE)</x:f>
        <x:v>Фабрика А</x:v>
      </x:c>
      <x:c r="J5" s="14" t="str">
        <x:f>VLOOKUP(D5,'Товар'!$A$2:$F$4,4,FALSE)</x:f>
        <x:v>кг</x:v>
      </x:c>
      <x:c r="K5" s="15" t="n">
        <x:f>VLOOKUP(D5,'Товар'!$A$2:$F$4,5,FALSE)</x:f>
        <x:v>0.5</x:v>
      </x:c>
      <x:c r="L5" s="15" t="n">
        <x:f>F5*K5</x:f>
        <x:v>3.5</x:v>
      </x:c>
      <x:c r="M5" s="16" t="n">
        <x:f>F5*G5</x:f>
        <x:v>560</x:v>
      </x:c>
      <x:c r="N5" s="16" t="n">
        <x:f>IF(E5="Поступление",F5,-F5)</x:f>
        <x:v>-7</x:v>
      </x:c>
      <x:c r="O5" s="15" t="n">
        <x:f>N5*K5</x:f>
        <x:v>-3.5</x:v>
      </x:c>
      <x:c r="P5" s="14" t="n">
        <x:f>IF(AND(H5="Северный",I5="Фабрика А",E5="Продажа",B5&gt;=DATE(2026,6,1),B5&lt;=DATE(2026,6,10)),1,0)</x:f>
        <x:v>0</x:v>
      </x:c>
      <x:c r="Q5" s="15" t="n">
        <x:f>IF(P5=1,L5,0)</x:f>
        <x:v>0</x:v>
      </x:c>
    </x:row>
    <x:row r="6" ht="27" customHeight="1">
      <x:c r="A6" s="2" t="n">
        <x:f>'Движение'!A6</x:f>
        <x:v>5</x:v>
      </x:c>
      <x:c r="B6" s="13" t="n">
        <x:f>'Движение'!B6</x:f>
        <x:v>46177</x:v>
      </x:c>
      <x:c r="C6" s="2" t="str">
        <x:f>'Движение'!C6</x:f>
        <x:v>M3</x:v>
      </x:c>
      <x:c r="D6" s="2" t="n">
        <x:f>'Движение'!D6</x:f>
        <x:v>102</x:v>
      </x:c>
      <x:c r="E6" s="2" t="str">
        <x:f>'Движение'!E6</x:f>
        <x:v>Продажа</x:v>
      </x:c>
      <x:c r="F6" s="2" t="n">
        <x:f>'Движение'!F6</x:f>
        <x:v>4</x:v>
      </x:c>
      <x:c r="G6" s="2" t="n">
        <x:f>'Движение'!G6</x:f>
        <x:v>140</x:v>
      </x:c>
      <x:c r="H6" s="14" t="str">
        <x:f>VLOOKUP(C6,'Магазин'!$A$2:$C$4,2,FALSE)</x:f>
        <x:v>Северный</x:v>
      </x:c>
      <x:c r="I6" s="14" t="str">
        <x:f>VLOOKUP(D6,'Товар'!$A$2:$F$4,6,FALSE)</x:f>
        <x:v>Фабрика А</x:v>
      </x:c>
      <x:c r="J6" s="14" t="str">
        <x:f>VLOOKUP(D6,'Товар'!$A$2:$F$4,4,FALSE)</x:f>
        <x:v>кг</x:v>
      </x:c>
      <x:c r="K6" s="15" t="n">
        <x:f>VLOOKUP(D6,'Товар'!$A$2:$F$4,5,FALSE)</x:f>
        <x:v>1</x:v>
      </x:c>
      <x:c r="L6" s="15" t="n">
        <x:f>F6*K6</x:f>
        <x:v>4</x:v>
      </x:c>
      <x:c r="M6" s="16" t="n">
        <x:f>F6*G6</x:f>
        <x:v>560</x:v>
      </x:c>
      <x:c r="N6" s="16" t="n">
        <x:f>IF(E6="Поступление",F6,-F6)</x:f>
        <x:v>-4</x:v>
      </x:c>
      <x:c r="O6" s="15" t="n">
        <x:f>N6*K6</x:f>
        <x:v>-4</x:v>
      </x:c>
      <x:c r="P6" s="14" t="n">
        <x:f>IF(AND(H6="Северный",I6="Фабрика А",E6="Продажа",B6&gt;=DATE(2026,6,1),B6&lt;=DATE(2026,6,10)),1,0)</x:f>
        <x:v>1</x:v>
      </x:c>
      <x:c r="Q6" s="15" t="n">
        <x:f>IF(P6=1,L6,0)</x:f>
        <x:v>4</x:v>
      </x:c>
    </x:row>
    <x:row r="7" ht="27" customHeight="1">
      <x:c r="A7" s="2" t="n">
        <x:f>'Движение'!A7</x:f>
        <x:v>6</x:v>
      </x:c>
      <x:c r="B7" s="13" t="n">
        <x:f>'Движение'!B7</x:f>
        <x:v>46178</x:v>
      </x:c>
      <x:c r="C7" s="2" t="str">
        <x:f>'Движение'!C7</x:f>
        <x:v>M1</x:v>
      </x:c>
      <x:c r="D7" s="2" t="n">
        <x:f>'Движение'!D7</x:f>
        <x:v>103</x:v>
      </x:c>
      <x:c r="E7" s="2" t="str">
        <x:f>'Движение'!E7</x:f>
        <x:v>Продажа</x:v>
      </x:c>
      <x:c r="F7" s="2" t="n">
        <x:f>'Движение'!F7</x:f>
        <x:v>6</x:v>
      </x:c>
      <x:c r="G7" s="2" t="n">
        <x:f>'Движение'!G7</x:f>
        <x:v>110</x:v>
      </x:c>
      <x:c r="H7" s="14" t="str">
        <x:f>VLOOKUP(C7,'Магазин'!$A$2:$C$4,2,FALSE)</x:f>
        <x:v>Северный</x:v>
      </x:c>
      <x:c r="I7" s="14" t="str">
        <x:f>VLOOKUP(D7,'Товар'!$A$2:$F$4,6,FALSE)</x:f>
        <x:v>Фабрика Б</x:v>
      </x:c>
      <x:c r="J7" s="14" t="str">
        <x:f>VLOOKUP(D7,'Товар'!$A$2:$F$4,4,FALSE)</x:f>
        <x:v>кг</x:v>
      </x:c>
      <x:c r="K7" s="15" t="n">
        <x:f>VLOOKUP(D7,'Товар'!$A$2:$F$4,5,FALSE)</x:f>
        <x:v>1</x:v>
      </x:c>
      <x:c r="L7" s="15" t="n">
        <x:f>F7*K7</x:f>
        <x:v>6</x:v>
      </x:c>
      <x:c r="M7" s="16" t="n">
        <x:f>F7*G7</x:f>
        <x:v>660</x:v>
      </x:c>
      <x:c r="N7" s="16" t="n">
        <x:f>IF(E7="Поступление",F7,-F7)</x:f>
        <x:v>-6</x:v>
      </x:c>
      <x:c r="O7" s="15" t="n">
        <x:f>N7*K7</x:f>
        <x:v>-6</x:v>
      </x:c>
      <x:c r="P7" s="14" t="n">
        <x:f>IF(AND(H7="Северный",I7="Фабрика А",E7="Продажа",B7&gt;=DATE(2026,6,1),B7&lt;=DATE(2026,6,10)),1,0)</x:f>
        <x:v>0</x:v>
      </x:c>
      <x:c r="Q7" s="15" t="n">
        <x:f>IF(P7=1,L7,0)</x:f>
        <x:v>0</x:v>
      </x:c>
    </x:row>
    <x:row r="8" ht="27" customHeight="1">
      <x:c r="A8" s="2" t="n">
        <x:f>'Движение'!A8</x:f>
        <x:v>7</x:v>
      </x:c>
      <x:c r="B8" s="13" t="n">
        <x:f>'Движение'!B8</x:f>
        <x:v>46183</x:v>
      </x:c>
      <x:c r="C8" s="2" t="str">
        <x:f>'Движение'!C8</x:f>
        <x:v>M1</x:v>
      </x:c>
      <x:c r="D8" s="2" t="n">
        <x:f>'Движение'!D8</x:f>
        <x:v>102</x:v>
      </x:c>
      <x:c r="E8" s="2" t="str">
        <x:f>'Движение'!E8</x:f>
        <x:v>Продажа</x:v>
      </x:c>
      <x:c r="F8" s="2" t="n">
        <x:f>'Движение'!F8</x:f>
        <x:v>3</x:v>
      </x:c>
      <x:c r="G8" s="2" t="n">
        <x:f>'Движение'!G8</x:f>
        <x:v>150</x:v>
      </x:c>
      <x:c r="H8" s="14" t="str">
        <x:f>VLOOKUP(C8,'Магазин'!$A$2:$C$4,2,FALSE)</x:f>
        <x:v>Северный</x:v>
      </x:c>
      <x:c r="I8" s="14" t="str">
        <x:f>VLOOKUP(D8,'Товар'!$A$2:$F$4,6,FALSE)</x:f>
        <x:v>Фабрика А</x:v>
      </x:c>
      <x:c r="J8" s="14" t="str">
        <x:f>VLOOKUP(D8,'Товар'!$A$2:$F$4,4,FALSE)</x:f>
        <x:v>кг</x:v>
      </x:c>
      <x:c r="K8" s="15" t="n">
        <x:f>VLOOKUP(D8,'Товар'!$A$2:$F$4,5,FALSE)</x:f>
        <x:v>1</x:v>
      </x:c>
      <x:c r="L8" s="15" t="n">
        <x:f>F8*K8</x:f>
        <x:v>3</x:v>
      </x:c>
      <x:c r="M8" s="16" t="n">
        <x:f>F8*G8</x:f>
        <x:v>450</x:v>
      </x:c>
      <x:c r="N8" s="16" t="n">
        <x:f>IF(E8="Поступление",F8,-F8)</x:f>
        <x:v>-3</x:v>
      </x:c>
      <x:c r="O8" s="15" t="n">
        <x:f>N8*K8</x:f>
        <x:v>-3</x:v>
      </x:c>
      <x:c r="P8" s="14" t="n">
        <x:f>IF(AND(H8="Северный",I8="Фабрика А",E8="Продажа",B8&gt;=DATE(2026,6,1),B8&lt;=DATE(2026,6,10)),1,0)</x:f>
        <x:v>1</x:v>
      </x:c>
      <x:c r="Q8" s="15" t="n">
        <x:f>IF(P8=1,L8,0)</x:f>
        <x:v>3</x:v>
      </x:c>
    </x:row>
    <x:row r="9" ht="27" customHeight="1">
      <x:c r="A9" s="2" t="n">
        <x:f>'Движение'!A9</x:f>
        <x:v>8</x:v>
      </x:c>
      <x:c r="B9" s="13" t="n">
        <x:f>'Движение'!B9</x:f>
        <x:v>46184</x:v>
      </x:c>
      <x:c r="C9" s="2" t="str">
        <x:f>'Движение'!C9</x:f>
        <x:v>M3</x:v>
      </x:c>
      <x:c r="D9" s="2" t="n">
        <x:f>'Движение'!D9</x:f>
        <x:v>101</x:v>
      </x:c>
      <x:c r="E9" s="2" t="str">
        <x:f>'Движение'!E9</x:f>
        <x:v>Продажа</x:v>
      </x:c>
      <x:c r="F9" s="2" t="n">
        <x:f>'Движение'!F9</x:f>
        <x:v>9</x:v>
      </x:c>
      <x:c r="G9" s="2" t="n">
        <x:f>'Движение'!G9</x:f>
        <x:v>85</x:v>
      </x:c>
      <x:c r="H9" s="14" t="str">
        <x:f>VLOOKUP(C9,'Магазин'!$A$2:$C$4,2,FALSE)</x:f>
        <x:v>Северный</x:v>
      </x:c>
      <x:c r="I9" s="14" t="str">
        <x:f>VLOOKUP(D9,'Товар'!$A$2:$F$4,6,FALSE)</x:f>
        <x:v>Фабрика А</x:v>
      </x:c>
      <x:c r="J9" s="14" t="str">
        <x:f>VLOOKUP(D9,'Товар'!$A$2:$F$4,4,FALSE)</x:f>
        <x:v>кг</x:v>
      </x:c>
      <x:c r="K9" s="15" t="n">
        <x:f>VLOOKUP(D9,'Товар'!$A$2:$F$4,5,FALSE)</x:f>
        <x:v>0.5</x:v>
      </x:c>
      <x:c r="L9" s="15" t="n">
        <x:f>F9*K9</x:f>
        <x:v>4.5</x:v>
      </x:c>
      <x:c r="M9" s="16" t="n">
        <x:f>F9*G9</x:f>
        <x:v>765</x:v>
      </x:c>
      <x:c r="N9" s="16" t="n">
        <x:f>IF(E9="Поступление",F9,-F9)</x:f>
        <x:v>-9</x:v>
      </x:c>
      <x:c r="O9" s="15" t="n">
        <x:f>N9*K9</x:f>
        <x:v>-4.5</x:v>
      </x:c>
      <x:c r="P9" s="14" t="n">
        <x:f>IF(AND(H9="Северный",I9="Фабрика А",E9="Продажа",B9&gt;=DATE(2026,6,1),B9&lt;=DATE(2026,6,10)),1,0)</x:f>
        <x:v>0</x:v>
      </x:c>
      <x:c r="Q9" s="15" t="n">
        <x:f>IF(P9=1,L9,0)</x:f>
        <x:v>0</x:v>
      </x:c>
    </x:row>
    <x:row r="10" ht="27" customHeight="1">
      <x:c r="A10" s="2" t="n">
        <x:f>'Движение'!A10</x:f>
        <x:v>9</x:v>
      </x:c>
      <x:c r="B10" s="13" t="n">
        <x:f>'Движение'!B10</x:f>
        <x:v>46179</x:v>
      </x:c>
      <x:c r="C10" s="2" t="str">
        <x:f>'Движение'!C10</x:f>
        <x:v>M3</x:v>
      </x:c>
      <x:c r="D10" s="2" t="n">
        <x:f>'Движение'!D10</x:f>
        <x:v>101</x:v>
      </x:c>
      <x:c r="E10" s="2" t="str">
        <x:f>'Движение'!E10</x:f>
        <x:v>Поступление</x:v>
      </x:c>
      <x:c r="F10" s="2" t="n">
        <x:f>'Движение'!F10</x:f>
        <x:v>12</x:v>
      </x:c>
      <x:c r="G10" s="2" t="n">
        <x:f>'Движение'!G10</x:f>
        <x:v>65</x:v>
      </x:c>
      <x:c r="H10" s="14" t="str">
        <x:f>VLOOKUP(C10,'Магазин'!$A$2:$C$4,2,FALSE)</x:f>
        <x:v>Северный</x:v>
      </x:c>
      <x:c r="I10" s="14" t="str">
        <x:f>VLOOKUP(D10,'Товар'!$A$2:$F$4,6,FALSE)</x:f>
        <x:v>Фабрика А</x:v>
      </x:c>
      <x:c r="J10" s="14" t="str">
        <x:f>VLOOKUP(D10,'Товар'!$A$2:$F$4,4,FALSE)</x:f>
        <x:v>кг</x:v>
      </x:c>
      <x:c r="K10" s="15" t="n">
        <x:f>VLOOKUP(D10,'Товар'!$A$2:$F$4,5,FALSE)</x:f>
        <x:v>0.5</x:v>
      </x:c>
      <x:c r="L10" s="15" t="n">
        <x:f>F10*K10</x:f>
        <x:v>6</x:v>
      </x:c>
      <x:c r="M10" s="16" t="n">
        <x:f>F10*G10</x:f>
        <x:v>780</x:v>
      </x:c>
      <x:c r="N10" s="16" t="n">
        <x:f>IF(E10="Поступление",F10,-F10)</x:f>
        <x:v>12</x:v>
      </x:c>
      <x:c r="O10" s="15" t="n">
        <x:f>N10*K10</x:f>
        <x:v>6</x:v>
      </x:c>
      <x:c r="P10" s="14" t="n">
        <x:f>IF(AND(H10="Северный",I10="Фабрика А",E10="Продажа",B10&gt;=DATE(2026,6,1),B10&lt;=DATE(2026,6,10)),1,0)</x:f>
        <x:v>0</x:v>
      </x:c>
      <x:c r="Q10" s="15" t="n">
        <x:f>IF(P10=1,L10,0)</x:f>
        <x:v>0</x:v>
      </x:c>
    </x:row>
    <x:row r="11" ht="27" customHeight="1">
      <x:c r="A11" s="2" t="n">
        <x:f>'Движение'!A11</x:f>
        <x:v>10</x:v>
      </x:c>
      <x:c r="B11" s="13" t="n">
        <x:f>'Движение'!B11</x:f>
        <x:v>46179</x:v>
      </x:c>
      <x:c r="C11" s="2" t="str">
        <x:f>'Движение'!C11</x:f>
        <x:v>M1</x:v>
      </x:c>
      <x:c r="D11" s="2" t="n">
        <x:f>'Движение'!D11</x:f>
        <x:v>101</x:v>
      </x:c>
      <x:c r="E11" s="2" t="str">
        <x:f>'Движение'!E11</x:f>
        <x:v>Продажа</x:v>
      </x:c>
      <x:c r="F11" s="2" t="n">
        <x:f>'Движение'!F11</x:f>
        <x:v>2</x:v>
      </x:c>
      <x:c r="G11" s="2" t="n">
        <x:f>'Движение'!G11</x:f>
        <x:v>85</x:v>
      </x:c>
      <x:c r="H11" s="14" t="str">
        <x:f>VLOOKUP(C11,'Магазин'!$A$2:$C$4,2,FALSE)</x:f>
        <x:v>Северный</x:v>
      </x:c>
      <x:c r="I11" s="14" t="str">
        <x:f>VLOOKUP(D11,'Товар'!$A$2:$F$4,6,FALSE)</x:f>
        <x:v>Фабрика А</x:v>
      </x:c>
      <x:c r="J11" s="14" t="str">
        <x:f>VLOOKUP(D11,'Товар'!$A$2:$F$4,4,FALSE)</x:f>
        <x:v>кг</x:v>
      </x:c>
      <x:c r="K11" s="15" t="n">
        <x:f>VLOOKUP(D11,'Товар'!$A$2:$F$4,5,FALSE)</x:f>
        <x:v>0.5</x:v>
      </x:c>
      <x:c r="L11" s="15" t="n">
        <x:f>F11*K11</x:f>
        <x:v>1</x:v>
      </x:c>
      <x:c r="M11" s="16" t="n">
        <x:f>F11*G11</x:f>
        <x:v>170</x:v>
      </x:c>
      <x:c r="N11" s="16" t="n">
        <x:f>IF(E11="Поступление",F11,-F11)</x:f>
        <x:v>-2</x:v>
      </x:c>
      <x:c r="O11" s="15" t="n">
        <x:f>N11*K11</x:f>
        <x:v>-1</x:v>
      </x:c>
      <x:c r="P11" s="14" t="n">
        <x:f>IF(AND(H11="Северный",I11="Фабрика А",E11="Продажа",B11&gt;=DATE(2026,6,1),B11&lt;=DATE(2026,6,10)),1,0)</x:f>
        <x:v>1</x:v>
      </x:c>
      <x:c r="Q11" s="15" t="n">
        <x:f>IF(P11=1,L11,0)</x:f>
        <x:v>1</x:v>
      </x:c>
    </x:row>
    <x:row r="12" ht="27" customHeight="1">
      <x:c r="A12" s="2" t="n">
        <x:f>'Движение'!A12</x:f>
        <x:v>11</x:v>
      </x:c>
      <x:c r="B12" s="13" t="n">
        <x:f>'Движение'!B12</x:f>
        <x:v>46180</x:v>
      </x:c>
      <x:c r="C12" s="2" t="str">
        <x:f>'Движение'!C12</x:f>
        <x:v>M3</x:v>
      </x:c>
      <x:c r="D12" s="2" t="n">
        <x:f>'Движение'!D12</x:f>
        <x:v>102</x:v>
      </x:c>
      <x:c r="E12" s="2" t="str">
        <x:f>'Движение'!E12</x:f>
        <x:v>Поступление</x:v>
      </x:c>
      <x:c r="F12" s="2" t="n">
        <x:f>'Движение'!F12</x:f>
        <x:v>6</x:v>
      </x:c>
      <x:c r="G12" s="2" t="n">
        <x:f>'Движение'!G12</x:f>
        <x:v>100</x:v>
      </x:c>
      <x:c r="H12" s="14" t="str">
        <x:f>VLOOKUP(C12,'Магазин'!$A$2:$C$4,2,FALSE)</x:f>
        <x:v>Северный</x:v>
      </x:c>
      <x:c r="I12" s="14" t="str">
        <x:f>VLOOKUP(D12,'Товар'!$A$2:$F$4,6,FALSE)</x:f>
        <x:v>Фабрика А</x:v>
      </x:c>
      <x:c r="J12" s="14" t="str">
        <x:f>VLOOKUP(D12,'Товар'!$A$2:$F$4,4,FALSE)</x:f>
        <x:v>кг</x:v>
      </x:c>
      <x:c r="K12" s="15" t="n">
        <x:f>VLOOKUP(D12,'Товар'!$A$2:$F$4,5,FALSE)</x:f>
        <x:v>1</x:v>
      </x:c>
      <x:c r="L12" s="15" t="n">
        <x:f>F12*K12</x:f>
        <x:v>6</x:v>
      </x:c>
      <x:c r="M12" s="16" t="n">
        <x:f>F12*G12</x:f>
        <x:v>600</x:v>
      </x:c>
      <x:c r="N12" s="16" t="n">
        <x:f>IF(E12="Поступление",F12,-F12)</x:f>
        <x:v>6</x:v>
      </x:c>
      <x:c r="O12" s="15" t="n">
        <x:f>N12*K12</x:f>
        <x:v>6</x:v>
      </x:c>
      <x:c r="P12" s="14" t="n">
        <x:f>IF(AND(H12="Северный",I12="Фабрика А",E12="Продажа",B12&gt;=DATE(2026,6,1),B12&lt;=DATE(2026,6,10)),1,0)</x:f>
        <x:v>0</x:v>
      </x:c>
      <x:c r="Q12" s="15" t="n">
        <x:f>IF(P12=1,L12,0)</x:f>
        <x:v>0</x:v>
      </x:c>
    </x:row>
    <x:row r="13" ht="27" customHeight="1">
      <x:c r="A13" s="2" t="n">
        <x:f>'Движение'!A13</x:f>
        <x:v>12</x:v>
      </x:c>
      <x:c r="B13" s="13" t="n">
        <x:f>'Движение'!B13</x:f>
        <x:v>46173</x:v>
      </x:c>
      <x:c r="C13" s="2" t="str">
        <x:f>'Движение'!C13</x:f>
        <x:v>M1</x:v>
      </x:c>
      <x:c r="D13" s="2" t="n">
        <x:f>'Движение'!D13</x:f>
        <x:v>101</x:v>
      </x:c>
      <x:c r="E13" s="2" t="str">
        <x:f>'Движение'!E13</x:f>
        <x:v>Продажа</x:v>
      </x:c>
      <x:c r="F13" s="2" t="n">
        <x:f>'Движение'!F13</x:f>
        <x:v>4</x:v>
      </x:c>
      <x:c r="G13" s="2" t="n">
        <x:f>'Движение'!G13</x:f>
        <x:v>80</x:v>
      </x:c>
      <x:c r="H13" s="14" t="str">
        <x:f>VLOOKUP(C13,'Магазин'!$A$2:$C$4,2,FALSE)</x:f>
        <x:v>Северный</x:v>
      </x:c>
      <x:c r="I13" s="14" t="str">
        <x:f>VLOOKUP(D13,'Товар'!$A$2:$F$4,6,FALSE)</x:f>
        <x:v>Фабрика А</x:v>
      </x:c>
      <x:c r="J13" s="14" t="str">
        <x:f>VLOOKUP(D13,'Товар'!$A$2:$F$4,4,FALSE)</x:f>
        <x:v>кг</x:v>
      </x:c>
      <x:c r="K13" s="15" t="n">
        <x:f>VLOOKUP(D13,'Товар'!$A$2:$F$4,5,FALSE)</x:f>
        <x:v>0.5</x:v>
      </x:c>
      <x:c r="L13" s="15" t="n">
        <x:f>F13*K13</x:f>
        <x:v>2</x:v>
      </x:c>
      <x:c r="M13" s="16" t="n">
        <x:f>F13*G13</x:f>
        <x:v>320</x:v>
      </x:c>
      <x:c r="N13" s="16" t="n">
        <x:f>IF(E13="Поступление",F13,-F13)</x:f>
        <x:v>-4</x:v>
      </x:c>
      <x:c r="O13" s="15" t="n">
        <x:f>N13*K13</x:f>
        <x:v>-2</x:v>
      </x:c>
      <x:c r="P13" s="14" t="n">
        <x:f>IF(AND(H13="Северный",I13="Фабрика А",E13="Продажа",B13&gt;=DATE(2026,6,1),B13&lt;=DATE(2026,6,10)),1,0)</x:f>
        <x:v>0</x:v>
      </x:c>
      <x:c r="Q13" s="15" t="n">
        <x:f>IF(P13=1,L13,0)</x:f>
        <x:v>0</x:v>
      </x:c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7" customHeight="1">
      <x:c r="A16" s="17" t="str">
        <x:v>Фабрика А, Северный район, 01.06–10.06.2026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45" customHeight="1">
      <x:c r="A17" s="7" t="str">
        <x:v>Расчёт</x:v>
      </x:c>
      <x:c r="B17" s="8" t="str">
        <x:v>Единица</x:v>
      </x:c>
      <x:c r="C17" s="9" t="str">
        <x:v>Результат</x:v>
      </x:c>
      <x:c r="D17" s="2"/>
      <x:c r="E17" s="2" t="str">
        <x:v>Что проверить</x:v>
      </x:c>
      <x:c r="F17" s="2" t="str"/>
      <x:c r="G17" s="2" t="str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54" customHeight="1">
      <x:c r="A18" s="18" t="str">
        <x:v>Продано</x:v>
      </x:c>
      <x:c r="B18" s="2" t="str">
        <x:v>кг</x:v>
      </x:c>
      <x:c r="C18" s="11" t="n">
        <x:f>SUMIFS($L$2:$L$13,$P$2:$P$13,1)</x:f>
        <x:v>14.5</x:v>
      </x:c>
      <x:c r="D18" s="2"/>
      <x:c r="E18" s="19" t="str">
        <x:v>Масса: сначала упаковки × количество в упаковке.</x:v>
      </x:c>
      <x:c r="F18" s="19"/>
      <x:c r="G18" s="19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54" customHeight="1">
      <x:c r="A19" s="18" t="str">
        <x:v>Продано</x:v>
      </x:c>
      <x:c r="B19" s="2" t="str">
        <x:v>упаковки</x:v>
      </x:c>
      <x:c r="C19" s="12" t="n">
        <x:f>SUMIFS($F$2:$F$13,$P$2:$P$13,1)</x:f>
        <x:v>22</x:v>
      </x:c>
      <x:c r="D19" s="2"/>
      <x:c r="E19" s="19"/>
      <x:c r="F19" s="19"/>
      <x:c r="G19" s="19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54" customHeight="1">
      <x:c r="A20" s="18" t="str">
        <x:v>Выручка</x:v>
      </x:c>
      <x:c r="B20" s="2" t="str">
        <x:v>рубли</x:v>
      </x:c>
      <x:c r="C20" s="12" t="n">
        <x:f>SUMIFS($M$2:$M$13,$P$2:$P$13,1)</x:f>
        <x:v>2270</x:v>
      </x:c>
      <x:c r="D20" s="2"/>
      <x:c r="E20" s="19" t="str">
        <x:v>Выручка: сначала упаковки × цена одной упаковки.</x:v>
      </x:c>
      <x:c r="F20" s="19"/>
      <x:c r="G20" s="19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54" customHeight="1">
      <x:c r="A21" s="18" t="str">
        <x:v>Закупка</x:v>
      </x:c>
      <x:c r="B21" s="2" t="str">
        <x:v>рубли</x:v>
      </x:c>
      <x:c r="C21" s="12" t="n">
        <x:f>SUMIFS($M$2:$M$13, $H$2:$H$13,"Северный",$I$2:$I$13,"Фабрика А",$E$2:$E$13,"Поступление",$B$2:$B$13,"&gt;="&amp;DATE(2026,6,1),$B$2:$B$13,"&lt;="&amp;DATE(2026,6,10))</x:f>
        <x:v>2580</x:v>
      </x:c>
      <x:c r="D21" s="2"/>
      <x:c r="E21" s="19"/>
      <x:c r="F21" s="19"/>
      <x:c r="G21" s="19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54" customHeight="1">
      <x:c r="A22" s="18" t="str">
        <x:v>Изменение запаса 101</x:v>
      </x:c>
      <x:c r="B22" s="2" t="str">
        <x:v>упаковки</x:v>
      </x:c>
      <x:c r="C22" s="12" t="n">
        <x:f>SUMIFS($N$2:$N$13,$H$2:$H$13,"Северный",$D$2:$D$13,101,$B$2:$B$13,"&gt;="&amp;DATE(2026,6,1),$B$2:$B$13,"&lt;="&amp;DATE(2026,6,10))</x:f>
        <x:v>17</x:v>
      </x:c>
      <x:c r="D22" s="2"/>
      <x:c r="E22" s="19" t="str">
        <x:v>Изменение запаса: поступление минус продажа.</x:v>
      </x:c>
      <x:c r="F22" s="19"/>
      <x:c r="G22" s="19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54" customHeight="1">
      <x:c r="A23" s="18" t="str">
        <x:v>Операций продажи</x:v>
      </x:c>
      <x:c r="B23" s="2" t="str">
        <x:v>операции</x:v>
      </x:c>
      <x:c r="C23" s="12" t="n">
        <x:f>COUNTIFS($P$2:$P$13,1)</x:f>
        <x:v>5</x:v>
      </x:c>
      <x:c r="D23" s="2"/>
      <x:c r="E23" s="19"/>
      <x:c r="F23" s="19"/>
      <x:c r="G23" s="19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54" customHeight="1">
      <x:c r="A24" s="18" t="str">
        <x:v>Магазинов с продажами</x:v>
      </x:c>
      <x:c r="B24" s="2" t="str">
        <x:v>магазины</x:v>
      </x:c>
      <x:c r="C24" s="12" t="n">
        <x:f>COUNTIFS(B31:B33,"&gt;0")</x:f>
        <x:v>2</x:v>
      </x:c>
      <x:c r="D24" s="2"/>
      <x:c r="E24" s="19" t="str">
        <x:v>Магазины: сначала сгруппировать операции по ID.</x:v>
      </x:c>
      <x:c r="F24" s="19"/>
      <x:c r="G24" s="19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54" customHeight="1">
      <x:c r="A25" s="18" t="str">
        <x:v>Продали более 7 кг</x:v>
      </x:c>
      <x:c r="B25" s="2" t="str">
        <x:v>магазины</x:v>
      </x:c>
      <x:c r="C25" s="12" t="n">
        <x:f>COUNTIFS(C31:C33,"&gt;7")</x:f>
        <x:v>1</x:v>
      </x:c>
      <x:c r="D25" s="2"/>
      <x:c r="E25" s="19"/>
      <x:c r="F25" s="19"/>
      <x:c r="G25" s="19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7" customHeight="1">
      <x:c r="A26" s="2"/>
      <x:c r="B26" s="2"/>
      <x:c r="C26" s="2"/>
      <x:c r="D26" s="2"/>
      <x:c r="E26" s="19" t="str">
        <x:v>Для основного условия отфильтруй P по 1.</x:v>
      </x:c>
      <x:c r="F26" s="19"/>
      <x:c r="G26" s="19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45" customHeight="1">
      <x:c r="A30" s="7" t="str">
        <x:v>Магазин</x:v>
      </x:c>
      <x:c r="B30" s="8" t="str">
        <x:v>Операций</x:v>
      </x:c>
      <x:c r="C30" s="8" t="str">
        <x:v>Продано, кг</x:v>
      </x:c>
      <x:c r="D30" s="9" t="str">
        <x:v>Выручка, руб.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7" customHeight="1">
      <x:c r="A31" s="2" t="str">
        <x:f>'Магазин'!A2</x:f>
        <x:v>M1</x:v>
      </x:c>
      <x:c r="B31" s="2" t="n">
        <x:f>COUNTIFS($C$2:$C$13,A31,$P$2:$P$13,1)</x:f>
        <x:v>3</x:v>
      </x:c>
      <x:c r="C31" s="11" t="n">
        <x:f>SUMIFS($L$2:$L$13,$C$2:$C$13,A31,$P$2:$P$13,1)</x:f>
        <x:v>8</x:v>
      </x:c>
      <x:c r="D31" s="12" t="n">
        <x:f>SUMIFS($M$2:$M$13,$C$2:$C$13,A31,$P$2:$P$13,1)</x:f>
        <x:v>1260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7" customHeight="1">
      <x:c r="A32" s="2" t="str">
        <x:f>'Магазин'!A3</x:f>
        <x:v>M2</x:v>
      </x:c>
      <x:c r="B32" s="2" t="n">
        <x:f>COUNTIFS($C$2:$C$13,A32,$P$2:$P$13,1)</x:f>
        <x:v>0</x:v>
      </x:c>
      <x:c r="C32" s="11" t="n">
        <x:f>SUMIFS($L$2:$L$13,$C$2:$C$13,A32,$P$2:$P$13,1)</x:f>
        <x:v>0</x:v>
      </x:c>
      <x:c r="D32" s="12" t="n">
        <x:f>SUMIFS($M$2:$M$13,$C$2:$C$13,A32,$P$2:$P$13,1)</x:f>
        <x:v>0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7" customHeight="1">
      <x:c r="A33" s="2" t="str">
        <x:f>'Магазин'!A4</x:f>
        <x:v>M3</x:v>
      </x:c>
      <x:c r="B33" s="2" t="n">
        <x:f>COUNTIFS($C$2:$C$13,A33,$P$2:$P$13,1)</x:f>
        <x:v>2</x:v>
      </x:c>
      <x:c r="C33" s="11" t="n">
        <x:f>SUMIFS($L$2:$L$13,$C$2:$C$13,A33,$P$2:$P$13,1)</x:f>
        <x:v>6.5</x:v>
      </x:c>
      <x:c r="D33" s="12" t="n">
        <x:f>SUMIFS($M$2:$M$13,$C$2:$C$13,A33,$P$2:$P$13,1)</x:f>
        <x:v>1010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7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7" customHeight="1">
      <x:c r="A36" s="2" t="str">
        <x:v>Обычные формулы SUMIFS не учитывают видимость строк после фильтра.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7" customHeight="1">
      <x:c r="A37" s="2" t="str">
        <x:v>Килограммы можно складывать здесь, потому что единица всех трёх товаров — кг.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</x:sheetData>
  <x:pageMargins left="0.7" right="0.7" top="0.75" bottom="0.75" header="0.3" footer="0.3"/>
  <x:tableParts count="1">
    <x:tablePart xmlns:r="http://schemas.openxmlformats.org/officeDocument/2006/relationships" r:id="R27b114f539294e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</x:cols>
  <x:sheetData>
    <x:row r="1" ht="45" customHeight="1">
      <x:c r="A1" s="7" t="str">
        <x:v>ID магазина</x:v>
      </x:c>
      <x:c r="B1" s="8" t="str">
        <x:v>Район</x:v>
      </x:c>
      <x:c r="C1" s="9" t="str">
        <x:v>Адрес</x:v>
      </x:c>
    </x:row>
    <x:row r="2" ht="27" customHeight="1">
      <x:c r="A2" s="2" t="str">
        <x:v>M1</x:v>
      </x:c>
      <x:c r="B2" s="2" t="str">
        <x:v>Северный</x:v>
      </x:c>
      <x:c r="C2" s="2" t="str">
        <x:v>Лесная, 5</x:v>
      </x:c>
    </x:row>
    <x:row r="3" ht="27" customHeight="1">
      <x:c r="A3" s="2" t="str">
        <x:v>M2</x:v>
      </x:c>
      <x:c r="B3" s="2" t="str">
        <x:v>Южный</x:v>
      </x:c>
      <x:c r="C3" s="2" t="str">
        <x:v>Садовая, 9</x:v>
      </x:c>
    </x:row>
    <x:row r="4" ht="27" customHeight="1">
      <x:c r="A4" s="2" t="str">
        <x:v>M3</x:v>
      </x:c>
      <x:c r="B4" s="2" t="str">
        <x:v>Северный</x:v>
      </x:c>
      <x:c r="C4" s="2" t="str">
        <x:v>Мира, 12</x:v>
      </x:c>
    </x:row>
    <x:row r="5" ht="27" customHeight="1">
      <x:c r="A5" s="2"/>
      <x:c r="B5" s="2"/>
      <x:c r="C5" s="2"/>
    </x:row>
    <x:row r="6" ht="27" customHeight="1">
      <x:c r="A6" s="10" t="str">
        <x:v>Учебные данные. Все записи созданы для этого примера.</x:v>
      </x:c>
      <x:c r="B6" s="2"/>
      <x:c r="C6" s="2"/>
    </x:row>
  </x:sheetData>
  <x:pageMargins left="0.7" right="0.7" top="0.75" bottom="0.75" header="0.3" footer="0.3"/>
  <x:tableParts count="1">
    <x:tablePart xmlns:r="http://schemas.openxmlformats.org/officeDocument/2006/relationships" r:id="R97518085db194b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4" hidden="0" customWidth="1"/>
    <x:col min="5" max="5" width="24" hidden="0" customWidth="1"/>
    <x:col min="6" max="6" width="24" hidden="0" customWidth="1"/>
  </x:cols>
  <x:sheetData>
    <x:row r="1" ht="45" customHeight="1">
      <x:c r="A1" s="7" t="str">
        <x:v>Артикул</x:v>
      </x:c>
      <x:c r="B1" s="8" t="str">
        <x:v>Отдел</x:v>
      </x:c>
      <x:c r="C1" s="8" t="str">
        <x:v>Наименование</x:v>
      </x:c>
      <x:c r="D1" s="8" t="str">
        <x:v>Ед. изм.</x:v>
      </x:c>
      <x:c r="E1" s="8" t="str">
        <x:v>Количество в упаковке</x:v>
      </x:c>
      <x:c r="F1" s="9" t="str">
        <x:v>Поставщик</x:v>
      </x:c>
    </x:row>
    <x:row r="2" ht="27" customHeight="1">
      <x:c r="A2" s="12" t="n">
        <x:v>101</x:v>
      </x:c>
      <x:c r="B2" s="2" t="str">
        <x:v>Бакалея</x:v>
      </x:c>
      <x:c r="C2" s="2" t="str">
        <x:v>Макароны рожки</x:v>
      </x:c>
      <x:c r="D2" s="2" t="str">
        <x:v>кг</x:v>
      </x:c>
      <x:c r="E2" s="11" t="n">
        <x:v>0.5</x:v>
      </x:c>
      <x:c r="F2" s="2" t="str">
        <x:v>Фабрика А</x:v>
      </x:c>
    </x:row>
    <x:row r="3" ht="27" customHeight="1">
      <x:c r="A3" s="12" t="n">
        <x:v>102</x:v>
      </x:c>
      <x:c r="B3" s="2" t="str">
        <x:v>Бакалея</x:v>
      </x:c>
      <x:c r="C3" s="2" t="str">
        <x:v>Макароны перья</x:v>
      </x:c>
      <x:c r="D3" s="2" t="str">
        <x:v>кг</x:v>
      </x:c>
      <x:c r="E3" s="11" t="n">
        <x:v>1</x:v>
      </x:c>
      <x:c r="F3" s="2" t="str">
        <x:v>Фабрика А</x:v>
      </x:c>
    </x:row>
    <x:row r="4" ht="27" customHeight="1">
      <x:c r="A4" s="12" t="n">
        <x:v>103</x:v>
      </x:c>
      <x:c r="B4" s="2" t="str">
        <x:v>Бакалея</x:v>
      </x:c>
      <x:c r="C4" s="2" t="str">
        <x:v>Рис</x:v>
      </x:c>
      <x:c r="D4" s="2" t="str">
        <x:v>кг</x:v>
      </x:c>
      <x:c r="E4" s="11" t="n">
        <x:v>1</x:v>
      </x:c>
      <x:c r="F4" s="2" t="str">
        <x:v>Фабрика Б</x:v>
      </x:c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10" t="str">
        <x:v>Учебные данные. Все записи созданы для этого примера.</x:v>
      </x:c>
      <x:c r="B6" s="2"/>
      <x:c r="C6" s="2"/>
      <x:c r="D6" s="2"/>
      <x:c r="E6" s="2"/>
      <x:c r="F6" s="2"/>
    </x:row>
  </x:sheetData>
  <x:pageMargins left="0.7" right="0.7" top="0.75" bottom="0.75" header="0.3" footer="0.3"/>
  <x:tableParts count="1">
    <x:tablePart xmlns:r="http://schemas.openxmlformats.org/officeDocument/2006/relationships" r:id="R0e94816755094e1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8" hidden="0" customWidth="1"/>
    <x:col min="4" max="4" width="14" hidden="0" customWidth="1"/>
    <x:col min="5" max="5" width="22" hidden="0" customWidth="1"/>
    <x:col min="6" max="6" width="19" hidden="0" customWidth="1"/>
    <x:col min="7" max="7" width="23" hidden="0" customWidth="1"/>
  </x:cols>
  <x:sheetData>
    <x:row r="1" ht="45" customHeight="1">
      <x:c r="A1" s="7" t="str">
        <x:v>ID операции</x:v>
      </x:c>
      <x:c r="B1" s="8" t="str">
        <x:v>Дата</x:v>
      </x:c>
      <x:c r="C1" s="8" t="str">
        <x:v>ID магазина</x:v>
      </x:c>
      <x:c r="D1" s="8" t="str">
        <x:v>Артикул</x:v>
      </x:c>
      <x:c r="E1" s="8" t="str">
        <x:v>Тип операции</x:v>
      </x:c>
      <x:c r="F1" s="8" t="str">
        <x:v>Упаковок, шт.</x:v>
      </x:c>
      <x:c r="G1" s="9" t="str">
        <x:v>Цена, руб./уп.</x:v>
      </x:c>
    </x:row>
    <x:row r="2" ht="27" customHeight="1">
      <x:c r="A2" s="12" t="n">
        <x:v>1</x:v>
      </x:c>
      <x:c r="B2" s="13" t="n">
        <x:v>46174</x:v>
      </x:c>
      <x:c r="C2" s="2" t="str">
        <x:v>M1</x:v>
      </x:c>
      <x:c r="D2" s="12" t="n">
        <x:v>101</x:v>
      </x:c>
      <x:c r="E2" s="2" t="str">
        <x:v>Поступление</x:v>
      </x:c>
      <x:c r="F2" s="12" t="n">
        <x:v>20</x:v>
      </x:c>
      <x:c r="G2" s="12" t="n">
        <x:v>60</x:v>
      </x:c>
    </x:row>
    <x:row r="3" ht="27" customHeight="1">
      <x:c r="A3" s="12" t="n">
        <x:v>2</x:v>
      </x:c>
      <x:c r="B3" s="13" t="n">
        <x:v>46175</x:v>
      </x:c>
      <x:c r="C3" s="2" t="str">
        <x:v>M1</x:v>
      </x:c>
      <x:c r="D3" s="12" t="n">
        <x:v>101</x:v>
      </x:c>
      <x:c r="E3" s="2" t="str">
        <x:v>Продажа</x:v>
      </x:c>
      <x:c r="F3" s="12" t="n">
        <x:v>8</x:v>
      </x:c>
      <x:c r="G3" s="12" t="n">
        <x:v>80</x:v>
      </x:c>
    </x:row>
    <x:row r="4" ht="27" customHeight="1">
      <x:c r="A4" s="12" t="n">
        <x:v>3</x:v>
      </x:c>
      <x:c r="B4" s="13" t="n">
        <x:v>46176</x:v>
      </x:c>
      <x:c r="C4" s="2" t="str">
        <x:v>M3</x:v>
      </x:c>
      <x:c r="D4" s="12" t="n">
        <x:v>101</x:v>
      </x:c>
      <x:c r="E4" s="2" t="str">
        <x:v>Продажа</x:v>
      </x:c>
      <x:c r="F4" s="12" t="n">
        <x:v>5</x:v>
      </x:c>
      <x:c r="G4" s="12" t="n">
        <x:v>90</x:v>
      </x:c>
    </x:row>
    <x:row r="5" ht="27" customHeight="1">
      <x:c r="A5" s="12" t="n">
        <x:v>4</x:v>
      </x:c>
      <x:c r="B5" s="13" t="n">
        <x:v>46176</x:v>
      </x:c>
      <x:c r="C5" s="2" t="str">
        <x:v>M2</x:v>
      </x:c>
      <x:c r="D5" s="12" t="n">
        <x:v>101</x:v>
      </x:c>
      <x:c r="E5" s="2" t="str">
        <x:v>Продажа</x:v>
      </x:c>
      <x:c r="F5" s="12" t="n">
        <x:v>7</x:v>
      </x:c>
      <x:c r="G5" s="12" t="n">
        <x:v>80</x:v>
      </x:c>
    </x:row>
    <x:row r="6" ht="27" customHeight="1">
      <x:c r="A6" s="12" t="n">
        <x:v>5</x:v>
      </x:c>
      <x:c r="B6" s="13" t="n">
        <x:v>46177</x:v>
      </x:c>
      <x:c r="C6" s="2" t="str">
        <x:v>M3</x:v>
      </x:c>
      <x:c r="D6" s="12" t="n">
        <x:v>102</x:v>
      </x:c>
      <x:c r="E6" s="2" t="str">
        <x:v>Продажа</x:v>
      </x:c>
      <x:c r="F6" s="12" t="n">
        <x:v>4</x:v>
      </x:c>
      <x:c r="G6" s="12" t="n">
        <x:v>140</x:v>
      </x:c>
    </x:row>
    <x:row r="7" ht="27" customHeight="1">
      <x:c r="A7" s="12" t="n">
        <x:v>6</x:v>
      </x:c>
      <x:c r="B7" s="13" t="n">
        <x:v>46178</x:v>
      </x:c>
      <x:c r="C7" s="2" t="str">
        <x:v>M1</x:v>
      </x:c>
      <x:c r="D7" s="12" t="n">
        <x:v>103</x:v>
      </x:c>
      <x:c r="E7" s="2" t="str">
        <x:v>Продажа</x:v>
      </x:c>
      <x:c r="F7" s="12" t="n">
        <x:v>6</x:v>
      </x:c>
      <x:c r="G7" s="12" t="n">
        <x:v>110</x:v>
      </x:c>
    </x:row>
    <x:row r="8" ht="27" customHeight="1">
      <x:c r="A8" s="12" t="n">
        <x:v>7</x:v>
      </x:c>
      <x:c r="B8" s="13" t="n">
        <x:v>46183</x:v>
      </x:c>
      <x:c r="C8" s="2" t="str">
        <x:v>M1</x:v>
      </x:c>
      <x:c r="D8" s="12" t="n">
        <x:v>102</x:v>
      </x:c>
      <x:c r="E8" s="2" t="str">
        <x:v>Продажа</x:v>
      </x:c>
      <x:c r="F8" s="12" t="n">
        <x:v>3</x:v>
      </x:c>
      <x:c r="G8" s="12" t="n">
        <x:v>150</x:v>
      </x:c>
    </x:row>
    <x:row r="9" ht="27" customHeight="1">
      <x:c r="A9" s="12" t="n">
        <x:v>8</x:v>
      </x:c>
      <x:c r="B9" s="13" t="n">
        <x:v>46184</x:v>
      </x:c>
      <x:c r="C9" s="2" t="str">
        <x:v>M3</x:v>
      </x:c>
      <x:c r="D9" s="12" t="n">
        <x:v>101</x:v>
      </x:c>
      <x:c r="E9" s="2" t="str">
        <x:v>Продажа</x:v>
      </x:c>
      <x:c r="F9" s="12" t="n">
        <x:v>9</x:v>
      </x:c>
      <x:c r="G9" s="12" t="n">
        <x:v>85</x:v>
      </x:c>
    </x:row>
    <x:row r="10" ht="27" customHeight="1">
      <x:c r="A10" s="12" t="n">
        <x:v>9</x:v>
      </x:c>
      <x:c r="B10" s="13" t="n">
        <x:v>46179</x:v>
      </x:c>
      <x:c r="C10" s="2" t="str">
        <x:v>M3</x:v>
      </x:c>
      <x:c r="D10" s="12" t="n">
        <x:v>101</x:v>
      </x:c>
      <x:c r="E10" s="2" t="str">
        <x:v>Поступление</x:v>
      </x:c>
      <x:c r="F10" s="12" t="n">
        <x:v>12</x:v>
      </x:c>
      <x:c r="G10" s="12" t="n">
        <x:v>65</x:v>
      </x:c>
    </x:row>
    <x:row r="11" ht="27" customHeight="1">
      <x:c r="A11" s="12" t="n">
        <x:v>10</x:v>
      </x:c>
      <x:c r="B11" s="13" t="n">
        <x:v>46179</x:v>
      </x:c>
      <x:c r="C11" s="2" t="str">
        <x:v>M1</x:v>
      </x:c>
      <x:c r="D11" s="12" t="n">
        <x:v>101</x:v>
      </x:c>
      <x:c r="E11" s="2" t="str">
        <x:v>Продажа</x:v>
      </x:c>
      <x:c r="F11" s="12" t="n">
        <x:v>2</x:v>
      </x:c>
      <x:c r="G11" s="12" t="n">
        <x:v>85</x:v>
      </x:c>
    </x:row>
    <x:row r="12" ht="27" customHeight="1">
      <x:c r="A12" s="12" t="n">
        <x:v>11</x:v>
      </x:c>
      <x:c r="B12" s="13" t="n">
        <x:v>46180</x:v>
      </x:c>
      <x:c r="C12" s="2" t="str">
        <x:v>M3</x:v>
      </x:c>
      <x:c r="D12" s="12" t="n">
        <x:v>102</x:v>
      </x:c>
      <x:c r="E12" s="2" t="str">
        <x:v>Поступление</x:v>
      </x:c>
      <x:c r="F12" s="12" t="n">
        <x:v>6</x:v>
      </x:c>
      <x:c r="G12" s="12" t="n">
        <x:v>100</x:v>
      </x:c>
    </x:row>
    <x:row r="13" ht="27" customHeight="1">
      <x:c r="A13" s="12" t="n">
        <x:v>12</x:v>
      </x:c>
      <x:c r="B13" s="13" t="n">
        <x:v>46173</x:v>
      </x:c>
      <x:c r="C13" s="2" t="str">
        <x:v>M1</x:v>
      </x:c>
      <x:c r="D13" s="12" t="n">
        <x:v>101</x:v>
      </x:c>
      <x:c r="E13" s="2" t="str">
        <x:v>Продажа</x:v>
      </x:c>
      <x:c r="F13" s="12" t="n">
        <x:v>4</x:v>
      </x:c>
      <x:c r="G13" s="12" t="n">
        <x:v>80</x:v>
      </x:c>
    </x:row>
    <x:row r="14" ht="27" customHeight="1">
      <x:c r="A14" s="2"/>
      <x:c r="B14" s="2"/>
      <x:c r="C14" s="2"/>
      <x:c r="D14" s="2"/>
      <x:c r="E14" s="2"/>
      <x:c r="F14" s="2"/>
      <x:c r="G14" s="2"/>
    </x:row>
    <x:row r="15" ht="27" customHeight="1">
      <x:c r="A15" s="10" t="str">
        <x:v>Учебные данные. Все записи созданы для этого примера.</x:v>
      </x:c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  <x:tableParts count="1">
    <x:tablePart xmlns:r="http://schemas.openxmlformats.org/officeDocument/2006/relationships" r:id="R1482fad15de14d66"/>
  </x:tableParts>
</x:worksheet>
</file>