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dd0e66da0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ало" sheetId="1" r:id="R40678128b5584896"/>
    <x:sheet xmlns:r="http://schemas.openxmlformats.org/officeDocument/2006/relationships" name="База" sheetId="2" r:id="R6207b28aefbb4373"/>
    <x:sheet xmlns:r="http://schemas.openxmlformats.org/officeDocument/2006/relationships" name="Повторы" sheetId="3" r:id="R2e571a3c11e44a23"/>
    <x:sheet xmlns:r="http://schemas.openxmlformats.org/officeDocument/2006/relationships" name="Операции" sheetId="4" r:id="R12c50026cf8a4bba"/>
    <x:sheet xmlns:r="http://schemas.openxmlformats.org/officeDocument/2006/relationships" name="Товары" sheetId="5" r:id="Ra92abb9386844491"/>
    <x:sheet xmlns:r="http://schemas.openxmlformats.org/officeDocument/2006/relationships" name="Магазины" sheetId="6" r:id="R39226a6e67304197"/>
    <x:sheet xmlns:r="http://schemas.openxmlformats.org/officeDocument/2006/relationships" name="Робот" sheetId="7" r:id="R5bbd484f27ba499e"/>
    <x:sheet xmlns:r="http://schemas.openxmlformats.org/officeDocument/2006/relationships" name="Процессы" sheetId="8" r:id="R32ec325829da474f"/>
    <x:sheet xmlns:r="http://schemas.openxmlformats.org/officeDocument/2006/relationships" name="Практика" sheetId="9" r:id="R5e2c563e92514e15"/>
    <x:sheet xmlns:r="http://schemas.openxmlformats.org/officeDocument/2006/relationships" name="Ответы" sheetId="10" r:id="Rb3cc6246292d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dd.mm.yyyy"/>
    <x:numFmt numFmtId="202" formatCode="0.00"/>
  </x:numFmts>
  <x:fonts count="6">
    <x:font>
      <x:sz val="11"/>
      <x:name val="Carlito"/>
    </x:font>
    <x:font>
      <x:sz val="11"/>
      <x:color rgb="FF1C252C"/>
      <x:name val="Arial"/>
    </x:font>
    <x:font>
      <x:b/>
      <x:sz val="17"/>
      <x:color rgb="FF1C252C"/>
      <x:name val="Arial"/>
    </x:font>
    <x:font>
      <x:sz val="11"/>
      <x:color rgb="FF52626C"/>
      <x:name val="Arial"/>
    </x:font>
    <x:font>
      <x:b/>
      <x:sz val="11"/>
      <x:color rgb="FFFFFFFF"/>
      <x:name val="Arial"/>
    </x:font>
    <x:font>
      <x:b/>
      <x:sz val="11"/>
      <x:color rgb="FF1C252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D4C"/>
      </x:patternFill>
    </x:fill>
    <x:fill>
      <x:patternFill patternType="solid">
        <x:fgColor rgb="FFFFF2CC"/>
      </x:patternFill>
    </x:fill>
    <x:fill>
      <x:patternFill patternType="solid">
        <x:fgColor rgb="FFDDEBD7"/>
      </x:patternFill>
    </x:fill>
  </x:fills>
  <x:borders count="2">
    <x:border>
      <x:left/>
      <x:right/>
      <x:top/>
      <x:bottom/>
      <x:diagonal/>
    </x:border>
    <x:border>
      <x:left style="thin">
        <x:color rgb="FFB9C8D0"/>
      </x:left>
      <x:right style="thin">
        <x:color rgb="FFB9C8D0"/>
      </x:right>
      <x:top style="thin">
        <x:color rgb="FFB9C8D0"/>
      </x:top>
      <x:bottom style="thin">
        <x:color rgb="FFB9C8D0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color rgb="FF224F2A"/>
      </x:font>
      <x:fill>
        <x:patternFill patternType="solid">
          <x:bgColor rgb="FFE0EEDD"/>
        </x:patternFill>
      </x:fill>
    </x:dxf>
    <x:dxf>
      <x:font>
        <x:color rgb="FF224F2A"/>
      </x:font>
      <x:fill>
        <x:patternFill patternType="solid">
          <x:bgColor rgb="FFE0EEDD"/>
        </x:patternFill>
      </x:fill>
    </x:dxf>
    <x:dxf>
      <x:font>
        <x:color rgb="FF224F2A"/>
      </x:font>
      <x:fill>
        <x:patternFill patternType="solid">
          <x:bgColor rgb="FFE0EE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a4c9c62da4b97" /><Relationship Type="http://schemas.openxmlformats.org/officeDocument/2006/relationships/theme" Target="/xl/theme/theme1.xml" Id="R9d76d08372dc416a" /><Relationship Type="http://schemas.openxmlformats.org/officeDocument/2006/relationships/sharedStrings" Target="/xl/sharedStrings.xml" Id="Rcd9bd893e0164481" /><Relationship Type="http://schemas.openxmlformats.org/officeDocument/2006/relationships/worksheet" Target="/xl/worksheets/sheet1.xml" Id="R40678128b5584896" /><Relationship Type="http://schemas.openxmlformats.org/officeDocument/2006/relationships/worksheet" Target="/xl/worksheets/sheet2.xml" Id="R6207b28aefbb4373" /><Relationship Type="http://schemas.openxmlformats.org/officeDocument/2006/relationships/worksheet" Target="/xl/worksheets/sheet3.xml" Id="R2e571a3c11e44a23" /><Relationship Type="http://schemas.openxmlformats.org/officeDocument/2006/relationships/worksheet" Target="/xl/worksheets/sheet4.xml" Id="R12c50026cf8a4bba" /><Relationship Type="http://schemas.openxmlformats.org/officeDocument/2006/relationships/worksheet" Target="/xl/worksheets/sheet5.xml" Id="Ra92abb9386844491" /><Relationship Type="http://schemas.openxmlformats.org/officeDocument/2006/relationships/worksheet" Target="/xl/worksheets/sheet6.xml" Id="R39226a6e67304197" /><Relationship Type="http://schemas.openxmlformats.org/officeDocument/2006/relationships/worksheet" Target="/xl/worksheets/sheet7.xml" Id="R5bbd484f27ba499e" /><Relationship Type="http://schemas.openxmlformats.org/officeDocument/2006/relationships/worksheet" Target="/xl/worksheets/sheet8.xml" Id="R32ec325829da474f" /><Relationship Type="http://schemas.openxmlformats.org/officeDocument/2006/relationships/worksheet" Target="/xl/worksheets/sheet9.xml" Id="R5e2c563e92514e15" /><Relationship Type="http://schemas.openxmlformats.org/officeDocument/2006/relationships/worksheet" Target="/xl/worksheets/sheet10.xml" Id="Rb3cc6246292d46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7e7076e88c4b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Стоимость покупок, руб.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Стоимость, руб.</c:v>
          </c:tx>
          <c:spPr>
            <a:solidFill xmlns:a="http://schemas.openxmlformats.org/drawingml/2006/main">
              <a:srgbClr val="426D86"/>
            </a:solidFill>
          </c:spPr>
          <c:cat>
            <c:strRef>
              <c:f>'База'!$A$2:$A$5</c:f>
              <c:strCache>
                <c:ptCount val="0"/>
              </c:strCache>
            </c:strRef>
          </c:cat>
          <c:val>
            <c:numRef>
              <c:f>'База'!$D$2:$D$5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7e7076e88c4b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erationsData" displayName="OperationsData" ref="A1:M11" headerRowCount="1" totalsRowCount="0" totalsRowShown="0">
  <x:autoFilter ref="A1:M11"/>
  <x:tableColumns count="13">
    <x:tableColumn id="1" name="Дата"/>
    <x:tableColumn id="2" name="Код товара"/>
    <x:tableColumn id="3" name="Код магазина"/>
    <x:tableColumn id="4" name="Операция"/>
    <x:tableColumn id="5" name="Количество упаковок"/>
    <x:tableColumn id="6" name="Цена упаковки, руб."/>
    <x:tableColumn id="7" name="Категория"/>
    <x:tableColumn id="8" name="Район"/>
    <x:tableColumn id="9" name="Масса упаковки, г"/>
    <x:tableColumn id="10" name="Масса операции, кг"/>
    <x:tableColumn id="11" name="Стоимость, руб."/>
    <x:tableColumn id="12" name="Подходит 1/0"/>
    <x:tableColumn id="13" name="Отобрано, к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d9f17af3af4e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d01c9198ec942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7" hidden="0" customWidth="1"/>
    <x:col min="4" max="4" width="24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3" t="str">
        <x:v>Практика по Excel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5" customHeight="1">
      <x:c r="A4" s="4" t="str">
        <x:v>Начни с курса Excel-Course.docx. Главы и ячейки согласованы с этой книгой.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4" t="str">
        <x:v>Жёлтые ячейки содержат исходные данные или место для твоих формул.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4" t="str">
        <x:v>Выбери готовую формулу: её запись появится в строке формул Excel.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42" customHeight="1">
      <x:c r="A8" s="8" t="str">
        <x:v>Лист</x:v>
      </x:c>
      <x:c r="B8" s="8" t="str">
        <x:v>Главы курса</x:v>
      </x:c>
      <x:c r="C8" s="8" t="str">
        <x:v>Что изучать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2" t="str">
        <x:v>База</x:v>
      </x:c>
      <x:c r="B9" s="2" t="str">
        <x:v>4–6, 9, 12</x:v>
      </x:c>
      <x:c r="C9" s="2" t="str">
        <x:v>Стоимость, скидка и диаграмма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2" t="str">
        <x:v>Повторы</x:v>
      </x:c>
      <x:c r="B10" s="2" t="str">
        <x:v>14</x:v>
      </x:c>
      <x:c r="C10" s="2" t="str">
        <x:v>Частоты, одна пара, сравнение средних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 t="str">
        <x:v>Операции</x:v>
      </x:c>
      <x:c r="B11" s="2" t="str">
        <x:v>15</x:v>
      </x:c>
      <x:c r="C11" s="2" t="str">
        <x:v>Поиск по коду, отбор, масса и выручка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2" t="str">
        <x:v>Товары</x:v>
      </x:c>
      <x:c r="B12" s="2" t="str">
        <x:v>15</x:v>
      </x:c>
      <x:c r="C12" s="2" t="str">
        <x:v>Справочник товаров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2" t="str">
        <x:v>Магазины</x:v>
      </x:c>
      <x:c r="B13" s="2" t="str">
        <x:v>15</x:v>
      </x:c>
      <x:c r="C13" s="2" t="str">
        <x:v>Справочник районов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2" t="str">
        <x:v>Робот</x:v>
      </x:c>
      <x:c r="B14" s="2" t="str">
        <x:v>16</x:v>
      </x:c>
      <x:c r="C14" s="2" t="str">
        <x:v>Максимум и минимум на поле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2" t="str">
        <x:v>Процессы</x:v>
      </x:c>
      <x:c r="B15" s="2" t="str">
        <x:v>17</x:v>
      </x:c>
      <x:c r="C15" s="2" t="str">
        <x:v>Начала, окончания, параллельная работа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2" t="str">
        <x:v>Практика</x:v>
      </x:c>
      <x:c r="B16" s="2" t="str">
        <x:v>21</x:v>
      </x:c>
      <x:c r="C16" s="2" t="str">
        <x:v>Самостоятельные упражнения 21, 25, 27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2" t="str">
        <x:v>Ответы</x:v>
      </x:c>
      <x:c r="B17" s="2" t="str">
        <x:v>22</x:v>
      </x:c>
      <x:c r="C17" s="2" t="str">
        <x:v>Формулы решений к листу Практика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4" t="str">
        <x:v>Все наборы чисел учебные. Это не файлы задач из банка ЕГЭ.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4" t="str">
        <x:v>В примерах можно менять числа. Формулы пересчитывают результаты.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4" t="str">
        <x:v>В задачах о процессах меняй длительности, сохраняя заданные связи.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4" t="str">
        <x:v>Решения используют базовые функции. Имена функций Excel покажет на своём языке.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4" t="str">
        <x:v>Сайт для дальнейшей практики: https://inf-ege.sdamgia.ru/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42" customHeight="1">
      <x:c r="A1" s="8" t="str">
        <x:v>Товар</x:v>
      </x:c>
      <x:c r="B1" s="8" t="str">
        <x:v>Цена, руб.</x:v>
      </x:c>
      <x:c r="C1" s="8" t="str">
        <x:v>Количество, шт.</x:v>
      </x:c>
      <x:c r="D1" s="8" t="str">
        <x:v>Стоимость, руб.</x:v>
      </x:c>
      <x:c r="E1" s="8" t="str">
        <x:v>После скидки, руб.</x:v>
      </x:c>
      <x:c r="F1" s="2"/>
      <x:c r="G1" s="8" t="str">
        <x:v>Параметр</x:v>
      </x:c>
      <x:c r="H1" s="8" t="str">
        <x:v>Значение</x:v>
      </x:c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9" t="str">
        <x:v>Тетрадь</x:v>
      </x:c>
      <x:c r="B2" s="9" t="n">
        <x:v>40</x:v>
      </x:c>
      <x:c r="C2" s="9" t="n">
        <x:v>5</x:v>
      </x:c>
      <x:c r="D2" s="2" t="n">
        <x:f>B2*C2</x:f>
        <x:v>200</x:v>
      </x:c>
      <x:c r="E2" s="2" t="n">
        <x:f>D2*(1-$H$2)</x:f>
        <x:v>180</x:v>
      </x:c>
      <x:c r="F2" s="2"/>
      <x:c r="G2" s="2" t="str">
        <x:v>Скидка</x:v>
      </x:c>
      <x:c r="H2" s="10" t="n">
        <x:v>0.1</x:v>
      </x:c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9" t="str">
        <x:v>Ручка</x:v>
      </x:c>
      <x:c r="B3" s="9" t="n">
        <x:v>20</x:v>
      </x:c>
      <x:c r="C3" s="9" t="n">
        <x:v>3</x:v>
      </x:c>
      <x:c r="D3" s="2" t="n">
        <x:f>B3*C3</x:f>
        <x:v>60</x:v>
      </x:c>
      <x:c r="E3" s="2" t="n">
        <x:f>D3*(1-$H$2)</x:f>
        <x:v>54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5" customHeight="1">
      <x:c r="A4" s="9" t="str">
        <x:v>Папка</x:v>
      </x:c>
      <x:c r="B4" s="9" t="n">
        <x:v>120</x:v>
      </x:c>
      <x:c r="C4" s="9" t="n">
        <x:v>2</x:v>
      </x:c>
      <x:c r="D4" s="2" t="n">
        <x:f>B4*C4</x:f>
        <x:v>240</x:v>
      </x:c>
      <x:c r="E4" s="2" t="n">
        <x:f>D4*(1-$H$2)</x:f>
        <x:v>216</x:v>
      </x:c>
      <x:c r="F4" s="2"/>
      <x:c r="G4" s="4" t="str">
        <x:v>Измени H2 с 10% на 20%.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9" t="str">
        <x:v>Карандаш</x:v>
      </x:c>
      <x:c r="B5" s="9" t="n">
        <x:v>15</x:v>
      </x:c>
      <x:c r="C5" s="9" t="n">
        <x:v>4</x:v>
      </x:c>
      <x:c r="D5" s="2" t="n">
        <x:f>B5*C5</x:f>
        <x:v>60</x:v>
      </x:c>
      <x:c r="E5" s="2" t="n">
        <x:f>D5*(1-$H$2)</x:f>
        <x:v>54</x:v>
      </x:c>
      <x:c r="F5" s="2"/>
      <x:c r="G5" s="4" t="str">
        <x:v>Почему меняется весь столбец E?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11" t="str">
        <x:v>Итого</x:v>
      </x:c>
      <x:c r="B7" s="11"/>
      <x:c r="C7" s="11"/>
      <x:c r="D7" s="11" t="n">
        <x:f>SUM(D2:D5)</x:f>
        <x:v>560</x:v>
      </x:c>
      <x:c r="E7" s="11" t="n">
        <x:f>SUM(E2:E5)</x:f>
        <x:v>504</x:v>
      </x:c>
      <x:c r="F7" s="2"/>
      <x:c r="G7" s="4" t="str">
        <x:v>D2: цена × количество.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5" customHeight="1">
      <x:c r="A8" s="2"/>
      <x:c r="B8" s="2"/>
      <x:c r="C8" s="2"/>
      <x:c r="D8" s="2"/>
      <x:c r="E8" s="2"/>
      <x:c r="F8" s="2"/>
      <x:c r="G8" s="4" t="str">
        <x:v>E2: стоимость × (1 − скидка).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2"/>
      <x:c r="B10" s="2"/>
      <x:c r="C10" s="2"/>
      <x:c r="D10" s="2"/>
      <x:c r="E10" s="2"/>
      <x:c r="F10" s="2"/>
      <x:c r="G10" s="4" t="str">
        <x:v>В формуле E2 ссылка $H$2 закреплена.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pageMargins left="0.7" right="0.7" top="0.75" bottom="0.75" header="0.3" footer="0.3"/>
  <x:drawing xmlns:r="http://schemas.openxmlformats.org/officeDocument/2006/relationships" r:id="R44d9f17af3af4ee9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42" customHeight="1">
      <x:c r="A1" s="8" t="str">
        <x:v>Число 1</x:v>
      </x:c>
      <x:c r="B1" s="8" t="str">
        <x:v>Число 2</x:v>
      </x:c>
      <x:c r="C1" s="8" t="str">
        <x:v>Число 3</x:v>
      </x:c>
      <x:c r="D1" s="8" t="str">
        <x:v>Число 4</x:v>
      </x:c>
      <x:c r="E1" s="8" t="str">
        <x:v>Число 5</x:v>
      </x:c>
      <x:c r="F1" s="8" t="str">
        <x:v>Число 6</x:v>
      </x:c>
      <x:c r="G1" s="8" t="str">
        <x:v>Частота 1</x:v>
      </x:c>
      <x:c r="H1" s="8" t="str">
        <x:v>Частота 2</x:v>
      </x:c>
      <x:c r="I1" s="8" t="str">
        <x:v>Частота 3</x:v>
      </x:c>
      <x:c r="J1" s="8" t="str">
        <x:v>Частота 4</x:v>
      </x:c>
      <x:c r="K1" s="8" t="str">
        <x:v>Частота 5</x:v>
      </x:c>
      <x:c r="L1" s="8" t="str">
        <x:v>Частота 6</x:v>
      </x:c>
      <x:c r="M1" s="8" t="str">
        <x:v>Одна пара</x:v>
      </x:c>
      <x:c r="N1" s="8" t="str">
        <x:v>Сумма повторов</x:v>
      </x:c>
      <x:c r="O1" s="8" t="str">
        <x:v>Сумма одиночных</x:v>
      </x:c>
      <x:c r="P1" s="8" t="str">
        <x:v>Сравнение</x:v>
      </x:c>
      <x:c r="Q1" s="8" t="str">
        <x:v>Подходит 1/0</x:v>
      </x:c>
    </x:row>
    <x:row r="2" ht="25" customHeight="1">
      <x:c r="A2" s="9" t="n">
        <x:v>4</x:v>
      </x:c>
      <x:c r="B2" s="9" t="n">
        <x:v>4</x:v>
      </x:c>
      <x:c r="C2" s="9" t="n">
        <x:v>1</x:v>
      </x:c>
      <x:c r="D2" s="9" t="n">
        <x:v>2</x:v>
      </x:c>
      <x:c r="E2" s="9" t="n">
        <x:v>3</x:v>
      </x:c>
      <x:c r="F2" s="9" t="n">
        <x:v>5</x:v>
      </x:c>
      <x:c r="G2" s="2" t="n">
        <x:f>COUNTIF($A2:$F2,A2)</x:f>
        <x:v>2</x:v>
      </x:c>
      <x:c r="H2" s="2" t="n">
        <x:f>COUNTIF($A2:$F2,B2)</x:f>
        <x:v>2</x:v>
      </x:c>
      <x:c r="I2" s="2" t="n">
        <x:f>COUNTIF($A2:$F2,C2)</x:f>
        <x:v>1</x:v>
      </x:c>
      <x:c r="J2" s="2" t="n">
        <x:f>COUNTIF($A2:$F2,D2)</x:f>
        <x:v>1</x:v>
      </x:c>
      <x:c r="K2" s="2" t="n">
        <x:f>COUNTIF($A2:$F2,E2)</x:f>
        <x:v>1</x:v>
      </x:c>
      <x:c r="L2" s="2" t="n">
        <x:f>COUNTIF($A2:$F2,F2)</x:f>
        <x:v>1</x:v>
      </x:c>
      <x:c r="M2" s="2" t="b">
        <x:f>AND(COUNTIF(G2:L2,2)=2,COUNTIF(G2:L2,1)=4)</x:f>
        <x:v>1</x:v>
      </x:c>
      <x:c r="N2" s="2" t="n">
        <x:f>SUMIF(G2:L2,"&gt;1",A2:F2)</x:f>
        <x:v>8</x:v>
      </x:c>
      <x:c r="O2" s="2" t="n">
        <x:f>SUMIF(G2:L2,1,A2:F2)</x:f>
        <x:v>11</x:v>
      </x:c>
      <x:c r="P2" s="2" t="b">
        <x:f>2*N2&gt;O2</x:f>
        <x:v>1</x:v>
      </x:c>
      <x:c r="Q2" s="2" t="n">
        <x:f>IF(AND(M2,P2),1,0)</x:f>
        <x:v>1</x:v>
      </x:c>
    </x:row>
    <x:row r="3" ht="25" customHeight="1">
      <x:c r="A3" s="9" t="n">
        <x:v>2</x:v>
      </x:c>
      <x:c r="B3" s="9" t="n">
        <x:v>2</x:v>
      </x:c>
      <x:c r="C3" s="9" t="n">
        <x:v>5</x:v>
      </x:c>
      <x:c r="D3" s="9" t="n">
        <x:v>6</x:v>
      </x:c>
      <x:c r="E3" s="9" t="n">
        <x:v>7</x:v>
      </x:c>
      <x:c r="F3" s="9" t="n">
        <x:v>8</x:v>
      </x:c>
      <x:c r="G3" s="2" t="n">
        <x:f>COUNTIF($A3:$F3,A3)</x:f>
        <x:v>2</x:v>
      </x:c>
      <x:c r="H3" s="2" t="n">
        <x:f>COUNTIF($A3:$F3,B3)</x:f>
        <x:v>2</x:v>
      </x:c>
      <x:c r="I3" s="2" t="n">
        <x:f>COUNTIF($A3:$F3,C3)</x:f>
        <x:v>1</x:v>
      </x:c>
      <x:c r="J3" s="2" t="n">
        <x:f>COUNTIF($A3:$F3,D3)</x:f>
        <x:v>1</x:v>
      </x:c>
      <x:c r="K3" s="2" t="n">
        <x:f>COUNTIF($A3:$F3,E3)</x:f>
        <x:v>1</x:v>
      </x:c>
      <x:c r="L3" s="2" t="n">
        <x:f>COUNTIF($A3:$F3,F3)</x:f>
        <x:v>1</x:v>
      </x:c>
      <x:c r="M3" s="2" t="b">
        <x:f>AND(COUNTIF(G3:L3,2)=2,COUNTIF(G3:L3,1)=4)</x:f>
        <x:v>1</x:v>
      </x:c>
      <x:c r="N3" s="2" t="n">
        <x:f>SUMIF(G3:L3,"&gt;1",A3:F3)</x:f>
        <x:v>4</x:v>
      </x:c>
      <x:c r="O3" s="2" t="n">
        <x:f>SUMIF(G3:L3,1,A3:F3)</x:f>
        <x:v>26</x:v>
      </x:c>
      <x:c r="P3" s="2" t="b">
        <x:f>2*N3&gt;O3</x:f>
        <x:v>0</x:v>
      </x:c>
      <x:c r="Q3" s="2" t="n">
        <x:f>IF(AND(M3,P3),1,0)</x:f>
        <x:v>0</x:v>
      </x:c>
    </x:row>
    <x:row r="4" ht="25" customHeight="1">
      <x:c r="A4" s="9" t="n">
        <x:v>6</x:v>
      </x:c>
      <x:c r="B4" s="9" t="n">
        <x:v>6</x:v>
      </x:c>
      <x:c r="C4" s="9" t="n">
        <x:v>1</x:v>
      </x:c>
      <x:c r="D4" s="9" t="n">
        <x:v>2</x:v>
      </x:c>
      <x:c r="E4" s="9" t="n">
        <x:v>3</x:v>
      </x:c>
      <x:c r="F4" s="9" t="n">
        <x:v>4</x:v>
      </x:c>
      <x:c r="G4" s="2" t="n">
        <x:f>COUNTIF($A4:$F4,A4)</x:f>
        <x:v>2</x:v>
      </x:c>
      <x:c r="H4" s="2" t="n">
        <x:f>COUNTIF($A4:$F4,B4)</x:f>
        <x:v>2</x:v>
      </x:c>
      <x:c r="I4" s="2" t="n">
        <x:f>COUNTIF($A4:$F4,C4)</x:f>
        <x:v>1</x:v>
      </x:c>
      <x:c r="J4" s="2" t="n">
        <x:f>COUNTIF($A4:$F4,D4)</x:f>
        <x:v>1</x:v>
      </x:c>
      <x:c r="K4" s="2" t="n">
        <x:f>COUNTIF($A4:$F4,E4)</x:f>
        <x:v>1</x:v>
      </x:c>
      <x:c r="L4" s="2" t="n">
        <x:f>COUNTIF($A4:$F4,F4)</x:f>
        <x:v>1</x:v>
      </x:c>
      <x:c r="M4" s="2" t="b">
        <x:f>AND(COUNTIF(G4:L4,2)=2,COUNTIF(G4:L4,1)=4)</x:f>
        <x:v>1</x:v>
      </x:c>
      <x:c r="N4" s="2" t="n">
        <x:f>SUMIF(G4:L4,"&gt;1",A4:F4)</x:f>
        <x:v>12</x:v>
      </x:c>
      <x:c r="O4" s="2" t="n">
        <x:f>SUMIF(G4:L4,1,A4:F4)</x:f>
        <x:v>10</x:v>
      </x:c>
      <x:c r="P4" s="2" t="b">
        <x:f>2*N4&gt;O4</x:f>
        <x:v>1</x:v>
      </x:c>
      <x:c r="Q4" s="2" t="n">
        <x:f>IF(AND(M4,P4),1,0)</x:f>
        <x:v>1</x:v>
      </x:c>
    </x:row>
    <x:row r="5" ht="25" customHeight="1">
      <x:c r="A5" s="9" t="n">
        <x:v>4</x:v>
      </x:c>
      <x:c r="B5" s="9" t="n">
        <x:v>4</x:v>
      </x:c>
      <x:c r="C5" s="9" t="n">
        <x:v>4</x:v>
      </x:c>
      <x:c r="D5" s="9" t="n">
        <x:v>1</x:v>
      </x:c>
      <x:c r="E5" s="9" t="n">
        <x:v>2</x:v>
      </x:c>
      <x:c r="F5" s="9" t="n">
        <x:v>3</x:v>
      </x:c>
      <x:c r="G5" s="2" t="n">
        <x:f>COUNTIF($A5:$F5,A5)</x:f>
        <x:v>3</x:v>
      </x:c>
      <x:c r="H5" s="2" t="n">
        <x:f>COUNTIF($A5:$F5,B5)</x:f>
        <x:v>3</x:v>
      </x:c>
      <x:c r="I5" s="2" t="n">
        <x:f>COUNTIF($A5:$F5,C5)</x:f>
        <x:v>3</x:v>
      </x:c>
      <x:c r="J5" s="2" t="n">
        <x:f>COUNTIF($A5:$F5,D5)</x:f>
        <x:v>1</x:v>
      </x:c>
      <x:c r="K5" s="2" t="n">
        <x:f>COUNTIF($A5:$F5,E5)</x:f>
        <x:v>1</x:v>
      </x:c>
      <x:c r="L5" s="2" t="n">
        <x:f>COUNTIF($A5:$F5,F5)</x:f>
        <x:v>1</x:v>
      </x:c>
      <x:c r="M5" s="2" t="b">
        <x:f>AND(COUNTIF(G5:L5,2)=2,COUNTIF(G5:L5,1)=4)</x:f>
        <x:v>0</x:v>
      </x:c>
      <x:c r="N5" s="2" t="n">
        <x:f>SUMIF(G5:L5,"&gt;1",A5:F5)</x:f>
        <x:v>12</x:v>
      </x:c>
      <x:c r="O5" s="2" t="n">
        <x:f>SUMIF(G5:L5,1,A5:F5)</x:f>
        <x:v>6</x:v>
      </x:c>
      <x:c r="P5" s="2" t="b">
        <x:f>2*N5&gt;O5</x:f>
        <x:v>1</x:v>
      </x:c>
      <x:c r="Q5" s="2" t="n">
        <x:f>IF(AND(M5,P5),1,0)</x:f>
        <x:v>0</x:v>
      </x:c>
    </x:row>
    <x:row r="6" ht="25" customHeight="1">
      <x:c r="A6" s="9" t="n">
        <x:v>3</x:v>
      </x:c>
      <x:c r="B6" s="9" t="n">
        <x:v>3</x:v>
      </x:c>
      <x:c r="C6" s="9" t="n">
        <x:v>5</x:v>
      </x:c>
      <x:c r="D6" s="9" t="n">
        <x:v>5</x:v>
      </x:c>
      <x:c r="E6" s="9" t="n">
        <x:v>1</x:v>
      </x:c>
      <x:c r="F6" s="9" t="n">
        <x:v>9</x:v>
      </x:c>
      <x:c r="G6" s="2" t="n">
        <x:f>COUNTIF($A6:$F6,A6)</x:f>
        <x:v>2</x:v>
      </x:c>
      <x:c r="H6" s="2" t="n">
        <x:f>COUNTIF($A6:$F6,B6)</x:f>
        <x:v>2</x:v>
      </x:c>
      <x:c r="I6" s="2" t="n">
        <x:f>COUNTIF($A6:$F6,C6)</x:f>
        <x:v>2</x:v>
      </x:c>
      <x:c r="J6" s="2" t="n">
        <x:f>COUNTIF($A6:$F6,D6)</x:f>
        <x:v>2</x:v>
      </x:c>
      <x:c r="K6" s="2" t="n">
        <x:f>COUNTIF($A6:$F6,E6)</x:f>
        <x:v>1</x:v>
      </x:c>
      <x:c r="L6" s="2" t="n">
        <x:f>COUNTIF($A6:$F6,F6)</x:f>
        <x:v>1</x:v>
      </x:c>
      <x:c r="M6" s="2" t="b">
        <x:f>AND(COUNTIF(G6:L6,2)=2,COUNTIF(G6:L6,1)=4)</x:f>
        <x:v>0</x:v>
      </x:c>
      <x:c r="N6" s="2" t="n">
        <x:f>SUMIF(G6:L6,"&gt;1",A6:F6)</x:f>
        <x:v>16</x:v>
      </x:c>
      <x:c r="O6" s="2" t="n">
        <x:f>SUMIF(G6:L6,1,A6:F6)</x:f>
        <x:v>10</x:v>
      </x:c>
      <x:c r="P6" s="2" t="b">
        <x:f>2*N6&gt;O6</x:f>
        <x:v>1</x:v>
      </x:c>
      <x:c r="Q6" s="2" t="n">
        <x:f>IF(AND(M6,P6),1,0)</x:f>
        <x:v>0</x:v>
      </x:c>
    </x:row>
    <x:row r="7" ht="25" customHeight="1">
      <x:c r="A7" s="9" t="n">
        <x:v>1</x:v>
      </x:c>
      <x:c r="B7" s="9" t="n">
        <x:v>2</x:v>
      </x:c>
      <x:c r="C7" s="9" t="n">
        <x:v>3</x:v>
      </x:c>
      <x:c r="D7" s="9" t="n">
        <x:v>4</x:v>
      </x:c>
      <x:c r="E7" s="9" t="n">
        <x:v>5</x:v>
      </x:c>
      <x:c r="F7" s="9" t="n">
        <x:v>6</x:v>
      </x:c>
      <x:c r="G7" s="2" t="n">
        <x:f>COUNTIF($A7:$F7,A7)</x:f>
        <x:v>1</x:v>
      </x:c>
      <x:c r="H7" s="2" t="n">
        <x:f>COUNTIF($A7:$F7,B7)</x:f>
        <x:v>1</x:v>
      </x:c>
      <x:c r="I7" s="2" t="n">
        <x:f>COUNTIF($A7:$F7,C7)</x:f>
        <x:v>1</x:v>
      </x:c>
      <x:c r="J7" s="2" t="n">
        <x:f>COUNTIF($A7:$F7,D7)</x:f>
        <x:v>1</x:v>
      </x:c>
      <x:c r="K7" s="2" t="n">
        <x:f>COUNTIF($A7:$F7,E7)</x:f>
        <x:v>1</x:v>
      </x:c>
      <x:c r="L7" s="2" t="n">
        <x:f>COUNTIF($A7:$F7,F7)</x:f>
        <x:v>1</x:v>
      </x:c>
      <x:c r="M7" s="2" t="b">
        <x:f>AND(COUNTIF(G7:L7,2)=2,COUNTIF(G7:L7,1)=4)</x:f>
        <x:v>0</x:v>
      </x:c>
      <x:c r="N7" s="2" t="n">
        <x:f>SUMIF(G7:L7,"&gt;1",A7:F7)</x:f>
        <x:v>0</x:v>
      </x:c>
      <x:c r="O7" s="2" t="n">
        <x:f>SUMIF(G7:L7,1,A7:F7)</x:f>
        <x:v>21</x:v>
      </x:c>
      <x:c r="P7" s="2" t="b">
        <x:f>2*N7&gt;O7</x:f>
        <x:v>0</x:v>
      </x:c>
      <x:c r="Q7" s="2" t="n">
        <x:f>IF(AND(M7,P7),1,0)</x:f>
        <x:v>0</x:v>
      </x:c>
    </x:row>
    <x:row r="8" ht="25" customHeight="1">
      <x:c r="A8" s="9" t="n">
        <x:v>5</x:v>
      </x:c>
      <x:c r="B8" s="9" t="n">
        <x:v>5</x:v>
      </x:c>
      <x:c r="C8" s="9" t="n">
        <x:v>2</x:v>
      </x:c>
      <x:c r="D8" s="9" t="n">
        <x:v>3</x:v>
      </x:c>
      <x:c r="E8" s="9" t="n">
        <x:v>4</x:v>
      </x:c>
      <x:c r="F8" s="9" t="n">
        <x:v>6</x:v>
      </x:c>
      <x:c r="G8" s="2" t="n">
        <x:f>COUNTIF($A8:$F8,A8)</x:f>
        <x:v>2</x:v>
      </x:c>
      <x:c r="H8" s="2" t="n">
        <x:f>COUNTIF($A8:$F8,B8)</x:f>
        <x:v>2</x:v>
      </x:c>
      <x:c r="I8" s="2" t="n">
        <x:f>COUNTIF($A8:$F8,C8)</x:f>
        <x:v>1</x:v>
      </x:c>
      <x:c r="J8" s="2" t="n">
        <x:f>COUNTIF($A8:$F8,D8)</x:f>
        <x:v>1</x:v>
      </x:c>
      <x:c r="K8" s="2" t="n">
        <x:f>COUNTIF($A8:$F8,E8)</x:f>
        <x:v>1</x:v>
      </x:c>
      <x:c r="L8" s="2" t="n">
        <x:f>COUNTIF($A8:$F8,F8)</x:f>
        <x:v>1</x:v>
      </x:c>
      <x:c r="M8" s="2" t="b">
        <x:f>AND(COUNTIF(G8:L8,2)=2,COUNTIF(G8:L8,1)=4)</x:f>
        <x:v>1</x:v>
      </x:c>
      <x:c r="N8" s="2" t="n">
        <x:f>SUMIF(G8:L8,"&gt;1",A8:F8)</x:f>
        <x:v>10</x:v>
      </x:c>
      <x:c r="O8" s="2" t="n">
        <x:f>SUMIF(G8:L8,1,A8:F8)</x:f>
        <x:v>15</x:v>
      </x:c>
      <x:c r="P8" s="2" t="b">
        <x:f>2*N8&gt;O8</x:f>
        <x:v>1</x:v>
      </x:c>
      <x:c r="Q8" s="2" t="n">
        <x:f>IF(AND(M8,P8),1,0)</x:f>
        <x:v>1</x:v>
      </x:c>
    </x:row>
    <x:row r="9" ht="25" customHeight="1">
      <x:c r="A9" s="9" t="n">
        <x:v>2</x:v>
      </x:c>
      <x:c r="B9" s="9" t="n">
        <x:v>2</x:v>
      </x:c>
      <x:c r="C9" s="9" t="n">
        <x:v>1</x:v>
      </x:c>
      <x:c r="D9" s="9" t="n">
        <x:v>3</x:v>
      </x:c>
      <x:c r="E9" s="9" t="n">
        <x:v>4</x:v>
      </x:c>
      <x:c r="F9" s="9" t="n">
        <x:v>5</x:v>
      </x:c>
      <x:c r="G9" s="2" t="n">
        <x:f>COUNTIF($A9:$F9,A9)</x:f>
        <x:v>2</x:v>
      </x:c>
      <x:c r="H9" s="2" t="n">
        <x:f>COUNTIF($A9:$F9,B9)</x:f>
        <x:v>2</x:v>
      </x:c>
      <x:c r="I9" s="2" t="n">
        <x:f>COUNTIF($A9:$F9,C9)</x:f>
        <x:v>1</x:v>
      </x:c>
      <x:c r="J9" s="2" t="n">
        <x:f>COUNTIF($A9:$F9,D9)</x:f>
        <x:v>1</x:v>
      </x:c>
      <x:c r="K9" s="2" t="n">
        <x:f>COUNTIF($A9:$F9,E9)</x:f>
        <x:v>1</x:v>
      </x:c>
      <x:c r="L9" s="2" t="n">
        <x:f>COUNTIF($A9:$F9,F9)</x:f>
        <x:v>1</x:v>
      </x:c>
      <x:c r="M9" s="2" t="b">
        <x:f>AND(COUNTIF(G9:L9,2)=2,COUNTIF(G9:L9,1)=4)</x:f>
        <x:v>1</x:v>
      </x:c>
      <x:c r="N9" s="2" t="n">
        <x:f>SUMIF(G9:L9,"&gt;1",A9:F9)</x:f>
        <x:v>4</x:v>
      </x:c>
      <x:c r="O9" s="2" t="n">
        <x:f>SUMIF(G9:L9,1,A9:F9)</x:f>
        <x:v>13</x:v>
      </x:c>
      <x:c r="P9" s="2" t="b">
        <x:f>2*N9&gt;O9</x:f>
        <x:v>0</x:v>
      </x:c>
      <x:c r="Q9" s="2" t="n">
        <x:f>IF(AND(M9,P9),1,0)</x:f>
        <x:v>0</x:v>
      </x:c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4" t="str">
        <x:v>Подходящих строк</x:v>
      </x:c>
      <x:c r="O11" s="2"/>
      <x:c r="P11" s="2"/>
      <x:c r="Q11" s="11" t="n">
        <x:f>SUM(Q2:Q9)</x:f>
        <x:v>3</x:v>
      </x:c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4" t="str">
        <x:v>Одна пара занимает две позиции: частоты 2, 2, 1, 1, 1, 1.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4" t="str">
        <x:v>Для нужной структуры средние равны N/2 и O/4. Сравнение: 2*N &gt; O.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4" t="str">
        <x:v>Столбец P имеет смысл нужного сравнения только вместе с условием M.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4" t="str">
        <x:v>Учебные данные к главе 14. Попробуй заменить одну пару тройкой.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conditionalFormatting sqref="Q2:Q9">
    <x:cfRule type="cellIs" dxfId="0" priority="1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56" customHeight="1">
      <x:c r="A1" s="8" t="str">
        <x:v>Дата</x:v>
      </x:c>
      <x:c r="B1" s="8" t="str">
        <x:v>Код товара</x:v>
      </x:c>
      <x:c r="C1" s="8" t="str">
        <x:v>Код магазина</x:v>
      </x:c>
      <x:c r="D1" s="8" t="str">
        <x:v>Операция</x:v>
      </x:c>
      <x:c r="E1" s="8" t="str">
        <x:v>Количество упаковок</x:v>
      </x:c>
      <x:c r="F1" s="8" t="str">
        <x:v>Цена упаковки, руб.</x:v>
      </x:c>
      <x:c r="G1" s="8" t="str">
        <x:v>Категория</x:v>
      </x:c>
      <x:c r="H1" s="8" t="str">
        <x:v>Район</x:v>
      </x:c>
      <x:c r="I1" s="8" t="str">
        <x:v>Масса упаковки, г</x:v>
      </x:c>
      <x:c r="J1" s="8" t="str">
        <x:v>Масса операции, кг</x:v>
      </x:c>
      <x:c r="K1" s="8" t="str">
        <x:v>Стоимость, руб.</x:v>
      </x:c>
      <x:c r="L1" s="8" t="str">
        <x:v>Подходит 1/0</x:v>
      </x:c>
      <x:c r="M1" s="8" t="str">
        <x:v>Отобрано, кг</x:v>
      </x:c>
      <x:c r="N1" s="2"/>
      <x:c r="O1" s="2"/>
      <x:c r="P1" s="2"/>
      <x:c r="Q1" s="2"/>
    </x:row>
    <x:row r="2" ht="25" customHeight="1">
      <x:c r="A2" s="13" t="n">
        <x:v>46296</x:v>
      </x:c>
      <x:c r="B2" s="9" t="n">
        <x:v>101</x:v>
      </x:c>
      <x:c r="C2" s="9" t="n">
        <x:v>1</x:v>
      </x:c>
      <x:c r="D2" s="9" t="str">
        <x:v>Продажа</x:v>
      </x:c>
      <x:c r="E2" s="9" t="n">
        <x:v>10</x:v>
      </x:c>
      <x:c r="F2" s="9" t="n">
        <x:v>100</x:v>
      </x:c>
      <x:c r="G2" s="2" t="str">
        <x:f>VLOOKUP(B2,'Товары'!$A$2:$D$5,3,0)</x:f>
        <x:v>Напитки</x:v>
      </x:c>
      <x:c r="H2" s="2" t="str">
        <x:f>VLOOKUP(C2,'Магазины'!$A$2:$B$4,2,0)</x:f>
        <x:v>Северный</x:v>
      </x:c>
      <x:c r="I2" s="2" t="n">
        <x:f>VLOOKUP(B2,'Товары'!$A$2:$D$5,4,0)</x:f>
        <x:v>100</x:v>
      </x:c>
      <x:c r="J2" s="14" t="n">
        <x:f>E2*I2/1000</x:f>
        <x:v>1</x:v>
      </x:c>
      <x:c r="K2" s="2" t="n">
        <x:f>E2*F2</x:f>
        <x:v>1000</x:v>
      </x:c>
      <x:c r="L2" s="2" t="n">
        <x:f>IF(AND(G2="Напитки",H2="Северный",D2="Продажа",A2&gt;=DATE(2026,10,1),A2&lt;DATE(2026,10,4)),1,0)</x:f>
        <x:v>1</x:v>
      </x:c>
      <x:c r="M2" s="14" t="n">
        <x:f>IF(L2=1,J2,0)</x:f>
        <x:v>1</x:v>
      </x:c>
      <x:c r="N2" s="2"/>
      <x:c r="O2" s="2"/>
      <x:c r="P2" s="2"/>
      <x:c r="Q2" s="2"/>
    </x:row>
    <x:row r="3" ht="25" customHeight="1">
      <x:c r="A3" s="13" t="n">
        <x:v>46296</x:v>
      </x:c>
      <x:c r="B3" s="9" t="n">
        <x:v>102</x:v>
      </x:c>
      <x:c r="C3" s="9" t="n">
        <x:v>1</x:v>
      </x:c>
      <x:c r="D3" s="9" t="str">
        <x:v>Продажа</x:v>
      </x:c>
      <x:c r="E3" s="9" t="n">
        <x:v>3</x:v>
      </x:c>
      <x:c r="F3" s="9" t="n">
        <x:v>300</x:v>
      </x:c>
      <x:c r="G3" s="2" t="str">
        <x:f>VLOOKUP(B3,'Товары'!$A$2:$D$5,3,0)</x:f>
        <x:v>Напитки</x:v>
      </x:c>
      <x:c r="H3" s="2" t="str">
        <x:f>VLOOKUP(C3,'Магазины'!$A$2:$B$4,2,0)</x:f>
        <x:v>Северный</x:v>
      </x:c>
      <x:c r="I3" s="2" t="n">
        <x:f>VLOOKUP(B3,'Товары'!$A$2:$D$5,4,0)</x:f>
        <x:v>250</x:v>
      </x:c>
      <x:c r="J3" s="14" t="n">
        <x:f>E3*I3/1000</x:f>
        <x:v>0.75</x:v>
      </x:c>
      <x:c r="K3" s="2" t="n">
        <x:f>E3*F3</x:f>
        <x:v>900</x:v>
      </x:c>
      <x:c r="L3" s="2" t="n">
        <x:f>IF(AND(G3="Напитки",H3="Северный",D3="Продажа",A3&gt;=DATE(2026,10,1),A3&lt;DATE(2026,10,4)),1,0)</x:f>
        <x:v>1</x:v>
      </x:c>
      <x:c r="M3" s="14" t="n">
        <x:f>IF(L3=1,J3,0)</x:f>
        <x:v>0.75</x:v>
      </x:c>
      <x:c r="N3" s="2"/>
      <x:c r="O3" s="2"/>
      <x:c r="P3" s="2"/>
      <x:c r="Q3" s="2"/>
    </x:row>
    <x:row r="4" ht="25" customHeight="1">
      <x:c r="A4" s="13" t="n">
        <x:v>46297</x:v>
      </x:c>
      <x:c r="B4" s="9" t="n">
        <x:v>103</x:v>
      </x:c>
      <x:c r="C4" s="9" t="n">
        <x:v>1</x:v>
      </x:c>
      <x:c r="D4" s="9" t="str">
        <x:v>Продажа</x:v>
      </x:c>
      <x:c r="E4" s="9" t="n">
        <x:v>6</x:v>
      </x:c>
      <x:c r="F4" s="9" t="n">
        <x:v>80</x:v>
      </x:c>
      <x:c r="G4" s="2" t="str">
        <x:f>VLOOKUP(B4,'Товары'!$A$2:$D$5,3,0)</x:f>
        <x:v>Выпечка</x:v>
      </x:c>
      <x:c r="H4" s="2" t="str">
        <x:f>VLOOKUP(C4,'Магазины'!$A$2:$B$4,2,0)</x:f>
        <x:v>Северный</x:v>
      </x:c>
      <x:c r="I4" s="2" t="n">
        <x:f>VLOOKUP(B4,'Товары'!$A$2:$D$5,4,0)</x:f>
        <x:v>200</x:v>
      </x:c>
      <x:c r="J4" s="14" t="n">
        <x:f>E4*I4/1000</x:f>
        <x:v>1.2</x:v>
      </x:c>
      <x:c r="K4" s="2" t="n">
        <x:f>E4*F4</x:f>
        <x:v>480</x:v>
      </x:c>
      <x:c r="L4" s="2" t="n">
        <x:f>IF(AND(G4="Напитки",H4="Северный",D4="Продажа",A4&gt;=DATE(2026,10,1),A4&lt;DATE(2026,10,4)),1,0)</x:f>
        <x:v>0</x:v>
      </x:c>
      <x:c r="M4" s="14" t="n">
        <x:f>IF(L4=1,J4,0)</x:f>
        <x:v>0</x:v>
      </x:c>
      <x:c r="N4" s="2"/>
      <x:c r="O4" s="2"/>
      <x:c r="P4" s="2"/>
      <x:c r="Q4" s="2"/>
    </x:row>
    <x:row r="5" ht="25" customHeight="1">
      <x:c r="A5" s="13" t="n">
        <x:v>46297</x:v>
      </x:c>
      <x:c r="B5" s="9" t="n">
        <x:v>101</x:v>
      </x:c>
      <x:c r="C5" s="9" t="n">
        <x:v>2</x:v>
      </x:c>
      <x:c r="D5" s="9" t="str">
        <x:v>Продажа</x:v>
      </x:c>
      <x:c r="E5" s="9" t="n">
        <x:v>5</x:v>
      </x:c>
      <x:c r="F5" s="9" t="n">
        <x:v>100</x:v>
      </x:c>
      <x:c r="G5" s="2" t="str">
        <x:f>VLOOKUP(B5,'Товары'!$A$2:$D$5,3,0)</x:f>
        <x:v>Напитки</x:v>
      </x:c>
      <x:c r="H5" s="2" t="str">
        <x:f>VLOOKUP(C5,'Магазины'!$A$2:$B$4,2,0)</x:f>
        <x:v>Южный</x:v>
      </x:c>
      <x:c r="I5" s="2" t="n">
        <x:f>VLOOKUP(B5,'Товары'!$A$2:$D$5,4,0)</x:f>
        <x:v>100</x:v>
      </x:c>
      <x:c r="J5" s="14" t="n">
        <x:f>E5*I5/1000</x:f>
        <x:v>0.5</x:v>
      </x:c>
      <x:c r="K5" s="2" t="n">
        <x:f>E5*F5</x:f>
        <x:v>500</x:v>
      </x:c>
      <x:c r="L5" s="2" t="n">
        <x:f>IF(AND(G5="Напитки",H5="Северный",D5="Продажа",A5&gt;=DATE(2026,10,1),A5&lt;DATE(2026,10,4)),1,0)</x:f>
        <x:v>0</x:v>
      </x:c>
      <x:c r="M5" s="14" t="n">
        <x:f>IF(L5=1,J5,0)</x:f>
        <x:v>0</x:v>
      </x:c>
      <x:c r="N5" s="2"/>
      <x:c r="O5" s="2"/>
      <x:c r="P5" s="2"/>
      <x:c r="Q5" s="2"/>
    </x:row>
    <x:row r="6" ht="25" customHeight="1">
      <x:c r="A6" s="13" t="n">
        <x:v>46297</x:v>
      </x:c>
      <x:c r="B6" s="9" t="n">
        <x:v>104</x:v>
      </x:c>
      <x:c r="C6" s="9" t="n">
        <x:v>3</x:v>
      </x:c>
      <x:c r="D6" s="9" t="str">
        <x:v>Продажа</x:v>
      </x:c>
      <x:c r="E6" s="9" t="n">
        <x:v>5</x:v>
      </x:c>
      <x:c r="F6" s="9" t="n">
        <x:v>200</x:v>
      </x:c>
      <x:c r="G6" s="2" t="str">
        <x:f>VLOOKUP(B6,'Товары'!$A$2:$D$5,3,0)</x:f>
        <x:v>Напитки</x:v>
      </x:c>
      <x:c r="H6" s="2" t="str">
        <x:f>VLOOKUP(C6,'Магазины'!$A$2:$B$4,2,0)</x:f>
        <x:v>Северный</x:v>
      </x:c>
      <x:c r="I6" s="2" t="n">
        <x:f>VLOOKUP(B6,'Товары'!$A$2:$D$5,4,0)</x:f>
        <x:v>150</x:v>
      </x:c>
      <x:c r="J6" s="14" t="n">
        <x:f>E6*I6/1000</x:f>
        <x:v>0.75</x:v>
      </x:c>
      <x:c r="K6" s="2" t="n">
        <x:f>E6*F6</x:f>
        <x:v>1000</x:v>
      </x:c>
      <x:c r="L6" s="2" t="n">
        <x:f>IF(AND(G6="Напитки",H6="Северный",D6="Продажа",A6&gt;=DATE(2026,10,1),A6&lt;DATE(2026,10,4)),1,0)</x:f>
        <x:v>1</x:v>
      </x:c>
      <x:c r="M6" s="14" t="n">
        <x:f>IF(L6=1,J6,0)</x:f>
        <x:v>0.75</x:v>
      </x:c>
      <x:c r="N6" s="2"/>
      <x:c r="O6" s="2"/>
      <x:c r="P6" s="2"/>
      <x:c r="Q6" s="2"/>
    </x:row>
    <x:row r="7" ht="25" customHeight="1">
      <x:c r="A7" s="13" t="n">
        <x:v>46298</x:v>
      </x:c>
      <x:c r="B7" s="9" t="n">
        <x:v>104</x:v>
      </x:c>
      <x:c r="C7" s="9" t="n">
        <x:v>3</x:v>
      </x:c>
      <x:c r="D7" s="9" t="str">
        <x:v>Продажа</x:v>
      </x:c>
      <x:c r="E7" s="9" t="n">
        <x:v>2</x:v>
      </x:c>
      <x:c r="F7" s="9" t="n">
        <x:v>100</x:v>
      </x:c>
      <x:c r="G7" s="2" t="str">
        <x:f>VLOOKUP(B7,'Товары'!$A$2:$D$5,3,0)</x:f>
        <x:v>Напитки</x:v>
      </x:c>
      <x:c r="H7" s="2" t="str">
        <x:f>VLOOKUP(C7,'Магазины'!$A$2:$B$4,2,0)</x:f>
        <x:v>Северный</x:v>
      </x:c>
      <x:c r="I7" s="2" t="n">
        <x:f>VLOOKUP(B7,'Товары'!$A$2:$D$5,4,0)</x:f>
        <x:v>150</x:v>
      </x:c>
      <x:c r="J7" s="14" t="n">
        <x:f>E7*I7/1000</x:f>
        <x:v>0.3</x:v>
      </x:c>
      <x:c r="K7" s="2" t="n">
        <x:f>E7*F7</x:f>
        <x:v>200</x:v>
      </x:c>
      <x:c r="L7" s="2" t="n">
        <x:f>IF(AND(G7="Напитки",H7="Северный",D7="Продажа",A7&gt;=DATE(2026,10,1),A7&lt;DATE(2026,10,4)),1,0)</x:f>
        <x:v>1</x:v>
      </x:c>
      <x:c r="M7" s="14" t="n">
        <x:f>IF(L7=1,J7,0)</x:f>
        <x:v>0.3</x:v>
      </x:c>
      <x:c r="N7" s="2"/>
      <x:c r="O7" s="2"/>
      <x:c r="P7" s="2"/>
      <x:c r="Q7" s="2"/>
    </x:row>
    <x:row r="8" ht="25" customHeight="1">
      <x:c r="A8" s="13" t="n">
        <x:v>46298</x:v>
      </x:c>
      <x:c r="B8" s="9" t="n">
        <x:v>101</x:v>
      </x:c>
      <x:c r="C8" s="9" t="n">
        <x:v>1</x:v>
      </x:c>
      <x:c r="D8" s="9" t="str">
        <x:v>Поступление</x:v>
      </x:c>
      <x:c r="E8" s="9" t="n">
        <x:v>20</x:v>
      </x:c>
      <x:c r="F8" s="9" t="n">
        <x:v>70</x:v>
      </x:c>
      <x:c r="G8" s="2" t="str">
        <x:f>VLOOKUP(B8,'Товары'!$A$2:$D$5,3,0)</x:f>
        <x:v>Напитки</x:v>
      </x:c>
      <x:c r="H8" s="2" t="str">
        <x:f>VLOOKUP(C8,'Магазины'!$A$2:$B$4,2,0)</x:f>
        <x:v>Северный</x:v>
      </x:c>
      <x:c r="I8" s="2" t="n">
        <x:f>VLOOKUP(B8,'Товары'!$A$2:$D$5,4,0)</x:f>
        <x:v>100</x:v>
      </x:c>
      <x:c r="J8" s="14" t="n">
        <x:f>E8*I8/1000</x:f>
        <x:v>2</x:v>
      </x:c>
      <x:c r="K8" s="2" t="n">
        <x:f>E8*F8</x:f>
        <x:v>1400</x:v>
      </x:c>
      <x:c r="L8" s="2" t="n">
        <x:f>IF(AND(G8="Напитки",H8="Северный",D8="Продажа",A8&gt;=DATE(2026,10,1),A8&lt;DATE(2026,10,4)),1,0)</x:f>
        <x:v>0</x:v>
      </x:c>
      <x:c r="M8" s="14" t="n">
        <x:f>IF(L8=1,J8,0)</x:f>
        <x:v>0</x:v>
      </x:c>
      <x:c r="N8" s="2"/>
      <x:c r="O8" s="2"/>
      <x:c r="P8" s="2"/>
      <x:c r="Q8" s="2"/>
    </x:row>
    <x:row r="9" ht="25" customHeight="1">
      <x:c r="A9" s="13" t="n">
        <x:v>46299</x:v>
      </x:c>
      <x:c r="B9" s="9" t="n">
        <x:v>102</x:v>
      </x:c>
      <x:c r="C9" s="9" t="n">
        <x:v>1</x:v>
      </x:c>
      <x:c r="D9" s="9" t="str">
        <x:v>Продажа</x:v>
      </x:c>
      <x:c r="E9" s="9" t="n">
        <x:v>4</x:v>
      </x:c>
      <x:c r="F9" s="9" t="n">
        <x:v>300</x:v>
      </x:c>
      <x:c r="G9" s="2" t="str">
        <x:f>VLOOKUP(B9,'Товары'!$A$2:$D$5,3,0)</x:f>
        <x:v>Напитки</x:v>
      </x:c>
      <x:c r="H9" s="2" t="str">
        <x:f>VLOOKUP(C9,'Магазины'!$A$2:$B$4,2,0)</x:f>
        <x:v>Северный</x:v>
      </x:c>
      <x:c r="I9" s="2" t="n">
        <x:f>VLOOKUP(B9,'Товары'!$A$2:$D$5,4,0)</x:f>
        <x:v>250</x:v>
      </x:c>
      <x:c r="J9" s="14" t="n">
        <x:f>E9*I9/1000</x:f>
        <x:v>1</x:v>
      </x:c>
      <x:c r="K9" s="2" t="n">
        <x:f>E9*F9</x:f>
        <x:v>1200</x:v>
      </x:c>
      <x:c r="L9" s="2" t="n">
        <x:f>IF(AND(G9="Напитки",H9="Северный",D9="Продажа",A9&gt;=DATE(2026,10,1),A9&lt;DATE(2026,10,4)),1,0)</x:f>
        <x:v>0</x:v>
      </x:c>
      <x:c r="M9" s="14" t="n">
        <x:f>IF(L9=1,J9,0)</x:f>
        <x:v>0</x:v>
      </x:c>
      <x:c r="N9" s="2"/>
      <x:c r="O9" s="2"/>
      <x:c r="P9" s="2"/>
      <x:c r="Q9" s="2"/>
    </x:row>
    <x:row r="10" ht="25" customHeight="1">
      <x:c r="A10" s="13" t="n">
        <x:v>46298</x:v>
      </x:c>
      <x:c r="B10" s="9" t="n">
        <x:v>102</x:v>
      </x:c>
      <x:c r="C10" s="9" t="n">
        <x:v>2</x:v>
      </x:c>
      <x:c r="D10" s="9" t="str">
        <x:v>Продажа</x:v>
      </x:c>
      <x:c r="E10" s="9" t="n">
        <x:v>2</x:v>
      </x:c>
      <x:c r="F10" s="9" t="n">
        <x:v>300</x:v>
      </x:c>
      <x:c r="G10" s="2" t="str">
        <x:f>VLOOKUP(B10,'Товары'!$A$2:$D$5,3,0)</x:f>
        <x:v>Напитки</x:v>
      </x:c>
      <x:c r="H10" s="2" t="str">
        <x:f>VLOOKUP(C10,'Магазины'!$A$2:$B$4,2,0)</x:f>
        <x:v>Южный</x:v>
      </x:c>
      <x:c r="I10" s="2" t="n">
        <x:f>VLOOKUP(B10,'Товары'!$A$2:$D$5,4,0)</x:f>
        <x:v>250</x:v>
      </x:c>
      <x:c r="J10" s="14" t="n">
        <x:f>E10*I10/1000</x:f>
        <x:v>0.5</x:v>
      </x:c>
      <x:c r="K10" s="2" t="n">
        <x:f>E10*F10</x:f>
        <x:v>600</x:v>
      </x:c>
      <x:c r="L10" s="2" t="n">
        <x:f>IF(AND(G10="Напитки",H10="Северный",D10="Продажа",A10&gt;=DATE(2026,10,1),A10&lt;DATE(2026,10,4)),1,0)</x:f>
        <x:v>0</x:v>
      </x:c>
      <x:c r="M10" s="14" t="n">
        <x:f>IF(L10=1,J10,0)</x:f>
        <x:v>0</x:v>
      </x:c>
      <x:c r="N10" s="2"/>
      <x:c r="O10" s="2"/>
      <x:c r="P10" s="2"/>
      <x:c r="Q10" s="2"/>
    </x:row>
    <x:row r="11" ht="25" customHeight="1">
      <x:c r="A11" s="13" t="n">
        <x:v>46298</x:v>
      </x:c>
      <x:c r="B11" s="9" t="n">
        <x:v>103</x:v>
      </x:c>
      <x:c r="C11" s="9" t="n">
        <x:v>3</x:v>
      </x:c>
      <x:c r="D11" s="9" t="str">
        <x:v>Продажа</x:v>
      </x:c>
      <x:c r="E11" s="9" t="n">
        <x:v>3</x:v>
      </x:c>
      <x:c r="F11" s="9" t="n">
        <x:v>80</x:v>
      </x:c>
      <x:c r="G11" s="2" t="str">
        <x:f>VLOOKUP(B11,'Товары'!$A$2:$D$5,3,0)</x:f>
        <x:v>Выпечка</x:v>
      </x:c>
      <x:c r="H11" s="2" t="str">
        <x:f>VLOOKUP(C11,'Магазины'!$A$2:$B$4,2,0)</x:f>
        <x:v>Северный</x:v>
      </x:c>
      <x:c r="I11" s="2" t="n">
        <x:f>VLOOKUP(B11,'Товары'!$A$2:$D$5,4,0)</x:f>
        <x:v>200</x:v>
      </x:c>
      <x:c r="J11" s="14" t="n">
        <x:f>E11*I11/1000</x:f>
        <x:v>0.6</x:v>
      </x:c>
      <x:c r="K11" s="2" t="n">
        <x:f>E11*F11</x:f>
        <x:v>240</x:v>
      </x:c>
      <x:c r="L11" s="2" t="n">
        <x:f>IF(AND(G11="Напитки",H11="Северный",D11="Продажа",A11&gt;=DATE(2026,10,1),A11&lt;DATE(2026,10,4)),1,0)</x:f>
        <x:v>0</x:v>
      </x:c>
      <x:c r="M11" s="14" t="n">
        <x:f>IF(L11=1,J11,0)</x:f>
        <x:v>0</x:v>
      </x:c>
      <x:c r="N11" s="2"/>
      <x:c r="O11" s="2"/>
      <x:c r="P11" s="2"/>
      <x:c r="Q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14"/>
      <x:c r="N12" s="2"/>
      <x:c r="O12" s="2"/>
      <x:c r="P12" s="2"/>
      <x:c r="Q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14"/>
      <x:c r="N13" s="2"/>
      <x:c r="O13" s="2"/>
      <x:c r="P13" s="2"/>
      <x:c r="Q13" s="2"/>
    </x:row>
    <x:row r="14" ht="42" customHeight="1">
      <x:c r="A14" s="8" t="str">
        <x:v>Показатель</x:v>
      </x:c>
      <x:c r="B14" s="8" t="str">
        <x:v>Ответ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14"/>
      <x:c r="N14" s="2"/>
      <x:c r="O14" s="2"/>
      <x:c r="P14" s="2"/>
      <x:c r="Q14" s="2"/>
    </x:row>
    <x:row r="15" ht="25" customHeight="1">
      <x:c r="A15" s="2" t="str">
        <x:v>Масса, кг</x:v>
      </x:c>
      <x:c r="B15" s="14" t="n">
        <x:f>SUM(M2:M11)</x:f>
        <x:v>2.8</x:v>
      </x:c>
      <x:c r="C15" s="2"/>
      <x:c r="D15" s="4" t="str">
        <x:v>Продажа напитков, Северный район, 1–3 октября включительно.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2" t="str">
        <x:v>Выручка, руб.</x:v>
      </x:c>
      <x:c r="B16" s="2" t="n">
        <x:f>SUMIFS(K2:K11,L2:L11,1)</x:f>
        <x:v>3100</x:v>
      </x:c>
      <x:c r="C16" s="2"/>
      <x:c r="D16" s="4" t="str">
        <x:v>Данные об упаковке и районе извлечены из двух справочников.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2" t="str">
        <x:v>Число операций</x:v>
      </x:c>
      <x:c r="B17" s="2" t="n">
        <x:f>SUM(L2:L11)</x:f>
        <x:v>4</x:v>
      </x:c>
      <x:c r="C17" s="2"/>
      <x:c r="D17" s="4" t="str">
        <x:v>Вопрос о массе, выручке, упаковках и записях даёт разные ответы.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 t="str">
        <x:v>Упаковок, шт.</x:v>
      </x:c>
      <x:c r="B18" s="2" t="n">
        <x:f>SUMIFS(E2:E11,L2:L11,1)</x:f>
        <x:v>20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conditionalFormatting sqref="L2:L11">
    <x:cfRule type="cellIs" dxfId="1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01c9198ec942b3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42" customHeight="1">
      <x:c r="A1" s="8" t="str">
        <x:v>Код</x:v>
      </x:c>
      <x:c r="B1" s="8" t="str">
        <x:v>Название</x:v>
      </x:c>
      <x:c r="C1" s="8" t="str">
        <x:v>Категория</x:v>
      </x:c>
      <x:c r="D1" s="8" t="str">
        <x:v>Масса, г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9" t="n">
        <x:v>101</x:v>
      </x:c>
      <x:c r="B2" s="9" t="str">
        <x:v>Чай</x:v>
      </x:c>
      <x:c r="C2" s="9" t="str">
        <x:v>Напитки</x:v>
      </x:c>
      <x:c r="D2" s="9" t="n">
        <x:v>100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9" t="n">
        <x:v>102</x:v>
      </x:c>
      <x:c r="B3" s="9" t="str">
        <x:v>Кофе</x:v>
      </x:c>
      <x:c r="C3" s="9" t="str">
        <x:v>Напитки</x:v>
      </x:c>
      <x:c r="D3" s="9" t="n">
        <x:v>250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5" customHeight="1">
      <x:c r="A4" s="9" t="n">
        <x:v>103</x:v>
      </x:c>
      <x:c r="B4" s="9" t="str">
        <x:v>Печенье</x:v>
      </x:c>
      <x:c r="C4" s="9" t="str">
        <x:v>Выпечка</x:v>
      </x:c>
      <x:c r="D4" s="9" t="n">
        <x:v>200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9" t="n">
        <x:v>104</x:v>
      </x:c>
      <x:c r="B5" s="9" t="str">
        <x:v>Какао</x:v>
      </x:c>
      <x:c r="C5" s="9" t="str">
        <x:v>Напитки</x:v>
      </x:c>
      <x:c r="D5" s="9" t="n">
        <x:v>150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4" t="str">
        <x:v>Код в этом справочнике уникален.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5" customHeight="1">
      <x:c r="A8" s="4" t="str">
        <x:v>Масса относится к одной упаковке.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42" customHeight="1">
      <x:c r="A1" s="8" t="str">
        <x:v>Код магазина</x:v>
      </x:c>
      <x:c r="B1" s="8" t="str">
        <x:v>Район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9" t="n">
        <x:v>1</x:v>
      </x:c>
      <x:c r="B2" s="9" t="str">
        <x:v>Северный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9" t="n">
        <x:v>2</x:v>
      </x:c>
      <x:c r="B3" s="9" t="str">
        <x:v>Южный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5" customHeight="1">
      <x:c r="A4" s="9" t="n">
        <x:v>3</x:v>
      </x:c>
      <x:c r="B4" s="9" t="str">
        <x:v>Северный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4" t="str">
        <x:v>Разные магазины могут находиться в одном районе.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6" customHeight="1">
      <x:c r="A1" s="16" t="n">
        <x:v>1</x:v>
      </x:c>
      <x:c r="B1" s="16" t="n">
        <x:v>2</x:v>
      </x:c>
      <x:c r="C1" s="16" t="n">
        <x:v>3</x:v>
      </x:c>
      <x:c r="D1" s="16" t="n">
        <x:v>4</x:v>
      </x:c>
      <x:c r="E1" s="2"/>
      <x:c r="F1" s="18" t="n">
        <x:f>A1</x:f>
        <x:v>1</x:v>
      </x:c>
      <x:c r="G1" s="18" t="n">
        <x:f>F1+B1</x:f>
        <x:v>3</x:v>
      </x:c>
      <x:c r="H1" s="18" t="n">
        <x:f>G1+C1</x:f>
        <x:v>6</x:v>
      </x:c>
      <x:c r="I1" s="18" t="n">
        <x:f>H1+D1</x:f>
        <x:v>10</x:v>
      </x:c>
      <x:c r="J1" s="2"/>
      <x:c r="K1" s="18" t="n">
        <x:f>A1</x:f>
        <x:v>1</x:v>
      </x:c>
      <x:c r="L1" s="18" t="n">
        <x:f>K1+B1</x:f>
        <x:v>3</x:v>
      </x:c>
      <x:c r="M1" s="18" t="n">
        <x:f>L1+C1</x:f>
        <x:v>6</x:v>
      </x:c>
      <x:c r="N1" s="18" t="n">
        <x:f>M1+D1</x:f>
        <x:v>10</x:v>
      </x:c>
      <x:c r="O1" s="2"/>
      <x:c r="P1" s="2"/>
      <x:c r="Q1" s="2"/>
    </x:row>
    <x:row r="2" ht="36" customHeight="1">
      <x:c r="A2" s="16" t="n">
        <x:v>4</x:v>
      </x:c>
      <x:c r="B2" s="16" t="n">
        <x:v>8</x:v>
      </x:c>
      <x:c r="C2" s="16" t="n">
        <x:v>2</x:v>
      </x:c>
      <x:c r="D2" s="16" t="n">
        <x:v>1</x:v>
      </x:c>
      <x:c r="E2" s="2"/>
      <x:c r="F2" s="18" t="n">
        <x:f>F1+A2</x:f>
        <x:v>5</x:v>
      </x:c>
      <x:c r="G2" s="18" t="n">
        <x:f>MAX(F2,G1)+B2</x:f>
        <x:v>13</x:v>
      </x:c>
      <x:c r="H2" s="18" t="n">
        <x:f>MAX(G2,H1)+C2</x:f>
        <x:v>15</x:v>
      </x:c>
      <x:c r="I2" s="18" t="n">
        <x:f>MAX(H2,I1)+D2</x:f>
        <x:v>16</x:v>
      </x:c>
      <x:c r="J2" s="2"/>
      <x:c r="K2" s="18" t="n">
        <x:f>K1+A2</x:f>
        <x:v>5</x:v>
      </x:c>
      <x:c r="L2" s="18" t="n">
        <x:f>MIN(K2,L1)+B2</x:f>
        <x:v>11</x:v>
      </x:c>
      <x:c r="M2" s="18" t="n">
        <x:f>MIN(L2,M1)+C2</x:f>
        <x:v>8</x:v>
      </x:c>
      <x:c r="N2" s="18" t="n">
        <x:f>MIN(M2,N1)+D2</x:f>
        <x:v>9</x:v>
      </x:c>
      <x:c r="O2" s="2"/>
      <x:c r="P2" s="2"/>
      <x:c r="Q2" s="2"/>
    </x:row>
    <x:row r="3" ht="36" customHeight="1">
      <x:c r="A3" s="16" t="n">
        <x:v>1</x:v>
      </x:c>
      <x:c r="B3" s="16" t="n">
        <x:v>5</x:v>
      </x:c>
      <x:c r="C3" s="16" t="n">
        <x:v>3</x:v>
      </x:c>
      <x:c r="D3" s="16" t="n">
        <x:v>9</x:v>
      </x:c>
      <x:c r="E3" s="2"/>
      <x:c r="F3" s="18" t="n">
        <x:f>F2+A3</x:f>
        <x:v>6</x:v>
      </x:c>
      <x:c r="G3" s="18" t="n">
        <x:f>MAX(F3,G2)+B3</x:f>
        <x:v>18</x:v>
      </x:c>
      <x:c r="H3" s="18" t="n">
        <x:f>MAX(G3,H2)+C3</x:f>
        <x:v>21</x:v>
      </x:c>
      <x:c r="I3" s="18" t="n">
        <x:f>MAX(H3,I2)+D3</x:f>
        <x:v>30</x:v>
      </x:c>
      <x:c r="J3" s="2"/>
      <x:c r="K3" s="18" t="n">
        <x:f>K2+A3</x:f>
        <x:v>6</x:v>
      </x:c>
      <x:c r="L3" s="18" t="n">
        <x:f>MIN(K3,L2)+B3</x:f>
        <x:v>11</x:v>
      </x:c>
      <x:c r="M3" s="18" t="n">
        <x:f>MIN(L3,M2)+C3</x:f>
        <x:v>11</x:v>
      </x:c>
      <x:c r="N3" s="18" t="n">
        <x:f>MIN(M3,N2)+D3</x:f>
        <x:v>18</x:v>
      </x:c>
      <x:c r="O3" s="2"/>
      <x:c r="P3" s="2"/>
      <x:c r="Q3" s="2"/>
    </x:row>
    <x:row r="4" ht="36" customHeight="1">
      <x:c r="A4" s="16" t="n">
        <x:v>2</x:v>
      </x:c>
      <x:c r="B4" s="16" t="n">
        <x:v>2</x:v>
      </x:c>
      <x:c r="C4" s="16" t="n">
        <x:v>6</x:v>
      </x:c>
      <x:c r="D4" s="16" t="n">
        <x:v>1</x:v>
      </x:c>
      <x:c r="E4" s="2"/>
      <x:c r="F4" s="18" t="n">
        <x:f>F3+A4</x:f>
        <x:v>8</x:v>
      </x:c>
      <x:c r="G4" s="18" t="n">
        <x:f>MAX(F4,G3)+B4</x:f>
        <x:v>20</x:v>
      </x:c>
      <x:c r="H4" s="18" t="n">
        <x:f>MAX(G4,H3)+C4</x:f>
        <x:v>27</x:v>
      </x:c>
      <x:c r="I4" s="19" t="n">
        <x:f>MAX(H4,I3)+D4</x:f>
        <x:v>31</x:v>
      </x:c>
      <x:c r="J4" s="2"/>
      <x:c r="K4" s="18" t="n">
        <x:f>K3+A4</x:f>
        <x:v>8</x:v>
      </x:c>
      <x:c r="L4" s="18" t="n">
        <x:f>MIN(K4,L3)+B4</x:f>
        <x:v>10</x:v>
      </x:c>
      <x:c r="M4" s="18" t="n">
        <x:f>MIN(L4,M3)+C4</x:f>
        <x:v>16</x:v>
      </x:c>
      <x:c r="N4" s="19" t="n">
        <x:f>MIN(M4,N3)+D4</x:f>
        <x:v>17</x:v>
      </x:c>
      <x:c r="O4" s="2"/>
      <x:c r="P4" s="2"/>
      <x:c r="Q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4" t="str">
        <x:v>Монеты</x:v>
      </x:c>
      <x:c r="B6" s="2"/>
      <x:c r="C6" s="2"/>
      <x:c r="D6" s="2"/>
      <x:c r="E6" s="2"/>
      <x:c r="F6" s="4" t="str">
        <x:v>Максимумы</x:v>
      </x:c>
      <x:c r="G6" s="2"/>
      <x:c r="H6" s="2"/>
      <x:c r="I6" s="2"/>
      <x:c r="J6" s="2"/>
      <x:c r="K6" s="4" t="str">
        <x:v>Минимумы</x:v>
      </x:c>
      <x:c r="L6" s="2"/>
      <x:c r="M6" s="2"/>
      <x:c r="N6" s="2"/>
      <x:c r="O6" s="2"/>
      <x:c r="P6" s="2"/>
      <x:c r="Q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5" customHeight="1">
      <x:c r="A8" s="4" t="str">
        <x:v>Движения вправо и вниз. Старт A1, финиш D4. Обе клетки учитываются.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4" t="str">
        <x:v>Максимум до клетки = монета + лучший из допустимых предшественников.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4" t="str">
        <x:v>Верхний ряд и левый столбец имеют только одного предшественника.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4" t="str">
        <x:v>Измени монету в B2 и проследи изменения справа и ниже.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42" customHeight="1">
      <x:c r="A1" s="8" t="str">
        <x:v>ID</x:v>
      </x:c>
      <x:c r="B1" s="8" t="str">
        <x:v>Длительность</x:v>
      </x:c>
      <x:c r="C1" s="8" t="str">
        <x:v>Предш. 1</x:v>
      </x:c>
      <x:c r="D1" s="8" t="str">
        <x:v>Предш. 2</x:v>
      </x:c>
      <x:c r="E1" s="8" t="str">
        <x:v>Начало</x:v>
      </x:c>
      <x:c r="F1" s="8" t="str">
        <x:v>Окончание</x:v>
      </x:c>
      <x:c r="G1" s="2"/>
      <x:c r="H1" s="8" t="str">
        <x:v>Момент t</x:v>
      </x:c>
      <x:c r="I1" s="8" t="str">
        <x:v>Работает</x:v>
      </x:c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2" t="n">
        <x:v>1</x:v>
      </x:c>
      <x:c r="B2" s="9" t="n">
        <x:v>4</x:v>
      </x:c>
      <x:c r="C2" s="2" t="n">
        <x:v>0</x:v>
      </x:c>
      <x:c r="D2" s="2" t="n">
        <x:v>0</x:v>
      </x:c>
      <x:c r="E2" s="2" t="n">
        <x:v>0</x:v>
      </x:c>
      <x:c r="F2" s="2" t="n">
        <x:f>E2+B2</x:f>
        <x:v>4</x:v>
      </x:c>
      <x:c r="G2" s="2"/>
      <x:c r="H2" s="2" t="n">
        <x:v>0</x:v>
      </x:c>
      <x:c r="I2" s="2" t="n">
        <x:f>COUNTIFS($E$2:$E$6,"&lt;="&amp;H2,$F$2:$F$6,"&gt;"&amp;H2)</x:f>
        <x:v>2</x:v>
      </x:c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2" t="n">
        <x:v>2</x:v>
      </x:c>
      <x:c r="B3" s="9" t="n">
        <x:v>6</x:v>
      </x:c>
      <x:c r="C3" s="2" t="n">
        <x:v>0</x:v>
      </x:c>
      <x:c r="D3" s="2" t="n">
        <x:v>0</x:v>
      </x:c>
      <x:c r="E3" s="2" t="n">
        <x:v>0</x:v>
      </x:c>
      <x:c r="F3" s="2" t="n">
        <x:f>E3+B3</x:f>
        <x:v>6</x:v>
      </x:c>
      <x:c r="G3" s="2"/>
      <x:c r="H3" s="2" t="n">
        <x:v>1</x:v>
      </x:c>
      <x:c r="I3" s="2" t="n">
        <x:f>COUNTIFS($E$2:$E$6,"&lt;="&amp;H3,$F$2:$F$6,"&gt;"&amp;H3)</x:f>
        <x:v>2</x:v>
      </x:c>
      <x:c r="J3" s="2"/>
      <x:c r="K3" s="2"/>
      <x:c r="L3" s="2"/>
      <x:c r="M3" s="2"/>
      <x:c r="N3" s="2"/>
      <x:c r="O3" s="2"/>
      <x:c r="P3" s="2"/>
      <x:c r="Q3" s="2"/>
    </x:row>
    <x:row r="4" ht="25" customHeight="1">
      <x:c r="A4" s="2" t="n">
        <x:v>3</x:v>
      </x:c>
      <x:c r="B4" s="9" t="n">
        <x:v>3</x:v>
      </x:c>
      <x:c r="C4" s="2" t="n">
        <x:v>1</x:v>
      </x:c>
      <x:c r="D4" s="2" t="n">
        <x:v>0</x:v>
      </x:c>
      <x:c r="E4" s="2" t="n">
        <x:f>F2</x:f>
        <x:v>4</x:v>
      </x:c>
      <x:c r="F4" s="2" t="n">
        <x:f>E4+B4</x:f>
        <x:v>7</x:v>
      </x:c>
      <x:c r="G4" s="2"/>
      <x:c r="H4" s="2" t="n">
        <x:v>2</x:v>
      </x:c>
      <x:c r="I4" s="2" t="n">
        <x:f>COUNTIFS($E$2:$E$6,"&lt;="&amp;H4,$F$2:$F$6,"&gt;"&amp;H4)</x:f>
        <x:v>2</x:v>
      </x:c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2" t="n">
        <x:v>4</x:v>
      </x:c>
      <x:c r="B5" s="9" t="n">
        <x:v>5</x:v>
      </x:c>
      <x:c r="C5" s="2" t="n">
        <x:v>1</x:v>
      </x:c>
      <x:c r="D5" s="2" t="n">
        <x:v>2</x:v>
      </x:c>
      <x:c r="E5" s="2" t="n">
        <x:f>MAX(F2,F3)</x:f>
        <x:v>6</x:v>
      </x:c>
      <x:c r="F5" s="2" t="n">
        <x:f>E5+B5</x:f>
        <x:v>11</x:v>
      </x:c>
      <x:c r="G5" s="2"/>
      <x:c r="H5" s="2" t="n">
        <x:v>3</x:v>
      </x:c>
      <x:c r="I5" s="2" t="n">
        <x:f>COUNTIFS($E$2:$E$6,"&lt;="&amp;H5,$F$2:$F$6,"&gt;"&amp;H5)</x:f>
        <x:v>2</x:v>
      </x:c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2" t="n">
        <x:v>5</x:v>
      </x:c>
      <x:c r="B6" s="9" t="n">
        <x:v>2</x:v>
      </x:c>
      <x:c r="C6" s="2" t="n">
        <x:v>3</x:v>
      </x:c>
      <x:c r="D6" s="2" t="n">
        <x:v>4</x:v>
      </x:c>
      <x:c r="E6" s="2" t="n">
        <x:f>MAX(F4,F5)</x:f>
        <x:v>11</x:v>
      </x:c>
      <x:c r="F6" s="2" t="n">
        <x:f>E6+B6</x:f>
        <x:v>13</x:v>
      </x:c>
      <x:c r="G6" s="2"/>
      <x:c r="H6" s="2" t="n">
        <x:v>4</x:v>
      </x:c>
      <x:c r="I6" s="2" t="n">
        <x:f>COUNTIFS($E$2:$E$6,"&lt;="&amp;H6,$F$2:$F$6,"&gt;"&amp;H6)</x:f>
        <x:v>2</x:v>
      </x:c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2"/>
      <x:c r="B7" s="2"/>
      <x:c r="C7" s="2"/>
      <x:c r="D7" s="2"/>
      <x:c r="E7" s="2"/>
      <x:c r="F7" s="2"/>
      <x:c r="G7" s="2"/>
      <x:c r="H7" s="2" t="n">
        <x:v>5</x:v>
      </x:c>
      <x:c r="I7" s="2" t="n">
        <x:f>COUNTIFS($E$2:$E$6,"&lt;="&amp;H7,$F$2:$F$6,"&gt;"&amp;H7)</x:f>
        <x:v>2</x:v>
      </x:c>
      <x:c r="J7" s="2"/>
      <x:c r="K7" s="2"/>
      <x:c r="L7" s="2"/>
      <x:c r="M7" s="2"/>
      <x:c r="N7" s="2"/>
      <x:c r="O7" s="2"/>
      <x:c r="P7" s="2"/>
      <x:c r="Q7" s="2"/>
    </x:row>
    <x:row r="8" ht="25" customHeight="1">
      <x:c r="A8" s="2"/>
      <x:c r="B8" s="2"/>
      <x:c r="C8" s="2"/>
      <x:c r="D8" s="2"/>
      <x:c r="E8" s="2"/>
      <x:c r="F8" s="2"/>
      <x:c r="G8" s="2"/>
      <x:c r="H8" s="2" t="n">
        <x:v>6</x:v>
      </x:c>
      <x:c r="I8" s="2" t="n">
        <x:f>COUNTIFS($E$2:$E$6,"&lt;="&amp;H8,$F$2:$F$6,"&gt;"&amp;H8)</x:f>
        <x:v>2</x:v>
      </x:c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4" t="str">
        <x:v>Общее время</x:v>
      </x:c>
      <x:c r="B9" s="2"/>
      <x:c r="C9" s="2"/>
      <x:c r="D9" s="2"/>
      <x:c r="E9" s="2"/>
      <x:c r="F9" s="2" t="n">
        <x:f>MAX(F2:F6)</x:f>
        <x:v>13</x:v>
      </x:c>
      <x:c r="G9" s="2"/>
      <x:c r="H9" s="2" t="n">
        <x:v>7</x:v>
      </x:c>
      <x:c r="I9" s="2" t="n">
        <x:f>COUNTIFS($E$2:$E$6,"&lt;="&amp;H9,$F$2:$F$6,"&gt;"&amp;H9)</x:f>
        <x:v>1</x:v>
      </x:c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4" t="str">
        <x:v>Максимум одновременно</x:v>
      </x:c>
      <x:c r="B10" s="2"/>
      <x:c r="C10" s="2"/>
      <x:c r="D10" s="2"/>
      <x:c r="E10" s="2"/>
      <x:c r="F10" s="2" t="n">
        <x:f>MAX(I2:I14)</x:f>
        <x:v>2</x:v>
      </x:c>
      <x:c r="G10" s="2"/>
      <x:c r="H10" s="2" t="n">
        <x:v>8</x:v>
      </x:c>
      <x:c r="I10" s="2" t="n">
        <x:f>COUNTIFS($E$2:$E$6,"&lt;="&amp;H10,$F$2:$F$6,"&gt;"&amp;H10)</x:f>
        <x:v>1</x:v>
      </x:c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4" t="str">
        <x:v>Время с двумя процессами</x:v>
      </x:c>
      <x:c r="B11" s="2"/>
      <x:c r="C11" s="2"/>
      <x:c r="D11" s="2"/>
      <x:c r="E11" s="2"/>
      <x:c r="F11" s="2" t="n">
        <x:f>COUNTIF(I2:I14,2)</x:f>
        <x:v>7</x:v>
      </x:c>
      <x:c r="G11" s="2"/>
      <x:c r="H11" s="2" t="n">
        <x:v>9</x:v>
      </x:c>
      <x:c r="I11" s="2" t="n">
        <x:f>COUNTIFS($E$2:$E$6,"&lt;="&amp;H11,$F$2:$F$6,"&gt;"&amp;H11)</x:f>
        <x:v>1</x:v>
      </x:c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 t="n">
        <x:v>10</x:v>
      </x:c>
      <x:c r="I12" s="2" t="n">
        <x:f>COUNTIFS($E$2:$E$6,"&lt;="&amp;H12,$F$2:$F$6,"&gt;"&amp;H12)</x:f>
        <x:v>1</x:v>
      </x:c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 t="n">
        <x:v>11</x:v>
      </x:c>
      <x:c r="I13" s="2" t="n">
        <x:f>COUNTIFS($E$2:$E$6,"&lt;="&amp;H13,$F$2:$F$6,"&gt;"&amp;H13)</x:f>
        <x:v>1</x:v>
      </x:c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4" t="str">
        <x:v>Начало включено в рабочий интервал, окончание исключено.</x:v>
      </x:c>
      <x:c r="B14" s="2"/>
      <x:c r="C14" s="2"/>
      <x:c r="D14" s="2"/>
      <x:c r="E14" s="2"/>
      <x:c r="F14" s="2"/>
      <x:c r="G14" s="2"/>
      <x:c r="H14" s="2" t="n">
        <x:v>12</x:v>
      </x:c>
      <x:c r="I14" s="2" t="n">
        <x:f>COUNTIFS($E$2:$E$6,"&lt;="&amp;H14,$F$2:$F$6,"&gt;"&amp;H14)</x:f>
        <x:v>1</x:v>
      </x:c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4" t="str">
        <x:v>0 в столбцах предшественников означает отсутствие зависимости.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4" t="str">
        <x:v>Изменяй длительности; ссылки на предшественников заданы явно.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4" t="str">
        <x:v>Столбец H покрывает исходный пример. При увеличении общего срока продли его.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42" customHeight="1">
      <x:c r="A1" s="8" t="str">
        <x:v>Число 1</x:v>
      </x:c>
      <x:c r="B1" s="8" t="str">
        <x:v>Число 2</x:v>
      </x:c>
      <x:c r="C1" s="8" t="str">
        <x:v>Число 3</x:v>
      </x:c>
      <x:c r="D1" s="8" t="str">
        <x:v>Число 4</x:v>
      </x:c>
      <x:c r="E1" s="8" t="str">
        <x:v>Число 5</x:v>
      </x:c>
      <x:c r="F1" s="8" t="str">
        <x:v>Число 6</x:v>
      </x:c>
      <x:c r="G1" s="8" t="str">
        <x:v>Частота 1</x:v>
      </x:c>
      <x:c r="H1" s="8" t="str">
        <x:v>Частота 2</x:v>
      </x:c>
      <x:c r="I1" s="8" t="str">
        <x:v>Частота 3</x:v>
      </x:c>
      <x:c r="J1" s="8" t="str">
        <x:v>Частота 4</x:v>
      </x:c>
      <x:c r="K1" s="8" t="str">
        <x:v>Частота 5</x:v>
      </x:c>
      <x:c r="L1" s="8" t="str">
        <x:v>Частота 6</x:v>
      </x:c>
      <x:c r="M1" s="8" t="str">
        <x:v>Одна пара</x:v>
      </x:c>
      <x:c r="N1" s="8" t="str">
        <x:v>Сумма повторов</x:v>
      </x:c>
      <x:c r="O1" s="8" t="str">
        <x:v>Сумма одиночных</x:v>
      </x:c>
      <x:c r="P1" s="8" t="str">
        <x:v>Сравнение</x:v>
      </x:c>
      <x:c r="Q1" s="8" t="str">
        <x:v>Подходит 1/0</x:v>
      </x:c>
    </x:row>
    <x:row r="2" ht="25" customHeight="1">
      <x:c r="A2" s="2" t="n">
        <x:v>7</x:v>
      </x:c>
      <x:c r="B2" s="2" t="n">
        <x:v>7</x:v>
      </x:c>
      <x:c r="C2" s="2" t="n">
        <x:v>1</x:v>
      </x:c>
      <x:c r="D2" s="2" t="n">
        <x:v>2</x:v>
      </x:c>
      <x:c r="E2" s="2" t="n">
        <x:v>3</x:v>
      </x:c>
      <x:c r="F2" s="2" t="n">
        <x:v>4</x:v>
      </x:c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 ht="25" customHeight="1">
      <x:c r="A3" s="2" t="n">
        <x:v>1</x:v>
      </x:c>
      <x:c r="B3" s="2" t="n">
        <x:v>1</x:v>
      </x:c>
      <x:c r="C3" s="2" t="n">
        <x:v>3</x:v>
      </x:c>
      <x:c r="D3" s="2" t="n">
        <x:v>4</x:v>
      </x:c>
      <x:c r="E3" s="2" t="n">
        <x:v>5</x:v>
      </x:c>
      <x:c r="F3" s="2" t="n">
        <x:v>6</x:v>
      </x:c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 ht="25" customHeight="1">
      <x:c r="A4" s="2" t="n">
        <x:v>3</x:v>
      </x:c>
      <x:c r="B4" s="2" t="n">
        <x:v>3</x:v>
      </x:c>
      <x:c r="C4" s="2" t="n">
        <x:v>1</x:v>
      </x:c>
      <x:c r="D4" s="2" t="n">
        <x:v>2</x:v>
      </x:c>
      <x:c r="E4" s="2" t="n">
        <x:v>4</x:v>
      </x:c>
      <x:c r="F4" s="2" t="n">
        <x:v>5</x:v>
      </x:c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</x:row>
    <x:row r="5" ht="25" customHeight="1">
      <x:c r="A5" s="2" t="n">
        <x:v>5</x:v>
      </x:c>
      <x:c r="B5" s="2" t="n">
        <x:v>5</x:v>
      </x:c>
      <x:c r="C5" s="2" t="n">
        <x:v>1</x:v>
      </x:c>
      <x:c r="D5" s="2" t="n">
        <x:v>3</x:v>
      </x:c>
      <x:c r="E5" s="2" t="n">
        <x:v>4</x:v>
      </x:c>
      <x:c r="F5" s="2" t="n">
        <x:v>6</x:v>
      </x:c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6" ht="25" customHeight="1">
      <x:c r="A6" s="2" t="n">
        <x:v>2</x:v>
      </x:c>
      <x:c r="B6" s="2" t="n">
        <x:v>2</x:v>
      </x:c>
      <x:c r="C6" s="2" t="n">
        <x:v>4</x:v>
      </x:c>
      <x:c r="D6" s="2" t="n">
        <x:v>4</x:v>
      </x:c>
      <x:c r="E6" s="2" t="n">
        <x:v>1</x:v>
      </x:c>
      <x:c r="F6" s="2" t="n">
        <x:v>8</x:v>
      </x:c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</x:row>
    <x:row r="7" ht="25" customHeight="1">
      <x:c r="A7" s="2" t="n">
        <x:v>1</x:v>
      </x:c>
      <x:c r="B7" s="2" t="n">
        <x:v>2</x:v>
      </x:c>
      <x:c r="C7" s="2" t="n">
        <x:v>3</x:v>
      </x:c>
      <x:c r="D7" s="2" t="n">
        <x:v>4</x:v>
      </x:c>
      <x:c r="E7" s="2" t="n">
        <x:v>5</x:v>
      </x:c>
      <x:c r="F7" s="2" t="n">
        <x:v>6</x:v>
      </x:c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4" t="str">
        <x:v>Упражнение 21. Одна пара, четыре одиночных; среднее пары строго больше.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4" t="str">
        <x:v>Заполни жёлтые ячейки формулами, затем найди сумму признаков в Q.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4" t="str">
        <x:v>Поле</x:v>
      </x:c>
      <x:c r="B12" s="2"/>
      <x:c r="C12" s="2"/>
      <x:c r="D12" s="2"/>
      <x:c r="E12" s="4" t="str">
        <x:v>Максимум</x:v>
      </x:c>
      <x:c r="F12" s="2"/>
      <x:c r="G12" s="2"/>
      <x:c r="H12" s="2"/>
      <x:c r="I12" s="4" t="str">
        <x:v>Минимум</x:v>
      </x:c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17" t="n">
        <x:v>2</x:v>
      </x:c>
      <x:c r="B13" s="17" t="n">
        <x:v>1</x:v>
      </x:c>
      <x:c r="C13" s="17" t="n">
        <x:v>4</x:v>
      </x:c>
      <x:c r="D13" s="2"/>
      <x:c r="E13" s="15"/>
      <x:c r="F13" s="15"/>
      <x:c r="G13" s="15"/>
      <x:c r="H13" s="2"/>
      <x:c r="I13" s="15"/>
      <x:c r="J13" s="15"/>
      <x:c r="K13" s="15"/>
      <x:c r="L13" s="2"/>
      <x:c r="M13" s="2"/>
      <x:c r="N13" s="2"/>
      <x:c r="O13" s="2"/>
      <x:c r="P13" s="2"/>
      <x:c r="Q13" s="2"/>
    </x:row>
    <x:row r="14" ht="25" customHeight="1">
      <x:c r="A14" s="17" t="n">
        <x:v>3</x:v>
      </x:c>
      <x:c r="B14" s="17" t="n">
        <x:v>2</x:v>
      </x:c>
      <x:c r="C14" s="17" t="n">
        <x:v>1</x:v>
      </x:c>
      <x:c r="D14" s="2"/>
      <x:c r="E14" s="15"/>
      <x:c r="F14" s="15"/>
      <x:c r="G14" s="15"/>
      <x:c r="H14" s="2"/>
      <x:c r="I14" s="15"/>
      <x:c r="J14" s="15"/>
      <x:c r="K14" s="15"/>
      <x:c r="L14" s="2"/>
      <x:c r="M14" s="2"/>
      <x:c r="N14" s="2"/>
      <x:c r="O14" s="2"/>
      <x:c r="P14" s="2"/>
      <x:c r="Q14" s="2"/>
    </x:row>
    <x:row r="15" ht="25" customHeight="1">
      <x:c r="A15" s="17" t="n">
        <x:v>1</x:v>
      </x:c>
      <x:c r="B15" s="17" t="n">
        <x:v>5</x:v>
      </x:c>
      <x:c r="C15" s="17" t="n">
        <x:v>2</x:v>
      </x:c>
      <x:c r="D15" s="2"/>
      <x:c r="E15" s="15"/>
      <x:c r="F15" s="15"/>
      <x:c r="G15" s="15"/>
      <x:c r="H15" s="2"/>
      <x:c r="I15" s="15"/>
      <x:c r="J15" s="15"/>
      <x:c r="K15" s="15"/>
      <x:c r="L15" s="2"/>
      <x:c r="M15" s="2"/>
      <x:c r="N15" s="2"/>
      <x:c r="O15" s="2"/>
      <x:c r="P15" s="2"/>
      <x:c r="Q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4" t="str">
        <x:v>Упражнение 25. Вправо и вниз; обе крайние клетки учитываются.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42" customHeight="1">
      <x:c r="A19" s="8" t="str">
        <x:v>ID</x:v>
      </x:c>
      <x:c r="B19" s="8" t="str">
        <x:v>Длительность</x:v>
      </x:c>
      <x:c r="C19" s="8" t="str">
        <x:v>Предш. 1</x:v>
      </x:c>
      <x:c r="D19" s="8" t="str">
        <x:v>Предш. 2</x:v>
      </x:c>
      <x:c r="E19" s="8" t="str">
        <x:v>Начало</x:v>
      </x:c>
      <x:c r="F19" s="8" t="str">
        <x:v>Окончание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 t="n">
        <x:v>1</x:v>
      </x:c>
      <x:c r="B20" s="2" t="n">
        <x:v>5</x:v>
      </x:c>
      <x:c r="C20" s="2" t="n">
        <x:v>0</x:v>
      </x:c>
      <x:c r="D20" s="2" t="n">
        <x:v>0</x:v>
      </x:c>
      <x:c r="E20" s="9"/>
      <x:c r="F20" s="9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 t="n">
        <x:v>2</x:v>
      </x:c>
      <x:c r="B21" s="2" t="n">
        <x:v>2</x:v>
      </x:c>
      <x:c r="C21" s="2" t="n">
        <x:v>0</x:v>
      </x:c>
      <x:c r="D21" s="2" t="n">
        <x:v>0</x:v>
      </x:c>
      <x:c r="E21" s="9"/>
      <x:c r="F21" s="9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 t="n">
        <x:v>3</x:v>
      </x:c>
      <x:c r="B22" s="2" t="n">
        <x:v>4</x:v>
      </x:c>
      <x:c r="C22" s="2" t="n">
        <x:v>1</x:v>
      </x:c>
      <x:c r="D22" s="2" t="n">
        <x:v>2</x:v>
      </x:c>
      <x:c r="E22" s="9"/>
      <x:c r="F22" s="9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 t="n">
        <x:v>4</x:v>
      </x:c>
      <x:c r="B23" s="2" t="n">
        <x:v>3</x:v>
      </x:c>
      <x:c r="C23" s="2" t="n">
        <x:v>2</x:v>
      </x:c>
      <x:c r="D23" s="2" t="n">
        <x:v>0</x:v>
      </x:c>
      <x:c r="E23" s="9"/>
      <x:c r="F23" s="9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 t="n">
        <x:v>5</x:v>
      </x:c>
      <x:c r="B24" s="2" t="n">
        <x:v>1</x:v>
      </x:c>
      <x:c r="C24" s="2" t="n">
        <x:v>3</x:v>
      </x:c>
      <x:c r="D24" s="2" t="n">
        <x:v>4</x:v>
      </x:c>
      <x:c r="E24" s="9"/>
      <x:c r="F24" s="9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4" t="str">
        <x:v>Упражнение 27. Заполни начала и окончания; найди общий срок.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4" t="str">
        <x:v>Упражнение 28. Сколько времени одновременно работают ровно два процесса?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4" t="str">
        <x:v>Сначала реши самостоятельно. Формулы для сравнения — на листе Ответы.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42" customHeight="1">
      <x:c r="A1" s="8" t="str">
        <x:v>Число 1</x:v>
      </x:c>
      <x:c r="B1" s="8" t="str">
        <x:v>Число 2</x:v>
      </x:c>
      <x:c r="C1" s="8" t="str">
        <x:v>Число 3</x:v>
      </x:c>
      <x:c r="D1" s="8" t="str">
        <x:v>Число 4</x:v>
      </x:c>
      <x:c r="E1" s="8" t="str">
        <x:v>Число 5</x:v>
      </x:c>
      <x:c r="F1" s="8" t="str">
        <x:v>Число 6</x:v>
      </x:c>
      <x:c r="G1" s="8" t="str">
        <x:v>Частота 1</x:v>
      </x:c>
      <x:c r="H1" s="8" t="str">
        <x:v>Частота 2</x:v>
      </x:c>
      <x:c r="I1" s="8" t="str">
        <x:v>Частота 3</x:v>
      </x:c>
      <x:c r="J1" s="8" t="str">
        <x:v>Частота 4</x:v>
      </x:c>
      <x:c r="K1" s="8" t="str">
        <x:v>Частота 5</x:v>
      </x:c>
      <x:c r="L1" s="8" t="str">
        <x:v>Частота 6</x:v>
      </x:c>
      <x:c r="M1" s="8" t="str">
        <x:v>Одна пара</x:v>
      </x:c>
      <x:c r="N1" s="8" t="str">
        <x:v>Сумма повторов</x:v>
      </x:c>
      <x:c r="O1" s="8" t="str">
        <x:v>Сумма одиночных</x:v>
      </x:c>
      <x:c r="P1" s="8" t="str">
        <x:v>Сравнение</x:v>
      </x:c>
      <x:c r="Q1" s="8" t="str">
        <x:v>Подходит 1/0</x:v>
      </x:c>
    </x:row>
    <x:row r="2" ht="25" customHeight="1">
      <x:c r="A2" s="2" t="n">
        <x:f>'Практика'!A2</x:f>
        <x:v>7</x:v>
      </x:c>
      <x:c r="B2" s="2" t="n">
        <x:f>'Практика'!B2</x:f>
        <x:v>7</x:v>
      </x:c>
      <x:c r="C2" s="2" t="n">
        <x:f>'Практика'!C2</x:f>
        <x:v>1</x:v>
      </x:c>
      <x:c r="D2" s="2" t="n">
        <x:f>'Практика'!D2</x:f>
        <x:v>2</x:v>
      </x:c>
      <x:c r="E2" s="2" t="n">
        <x:f>'Практика'!E2</x:f>
        <x:v>3</x:v>
      </x:c>
      <x:c r="F2" s="2" t="n">
        <x:f>'Практика'!F2</x:f>
        <x:v>4</x:v>
      </x:c>
      <x:c r="G2" s="2" t="n">
        <x:f>COUNTIF($A2:$F2,A2)</x:f>
        <x:v>2</x:v>
      </x:c>
      <x:c r="H2" s="2" t="n">
        <x:f>COUNTIF($A2:$F2,B2)</x:f>
        <x:v>2</x:v>
      </x:c>
      <x:c r="I2" s="2" t="n">
        <x:f>COUNTIF($A2:$F2,C2)</x:f>
        <x:v>1</x:v>
      </x:c>
      <x:c r="J2" s="2" t="n">
        <x:f>COUNTIF($A2:$F2,D2)</x:f>
        <x:v>1</x:v>
      </x:c>
      <x:c r="K2" s="2" t="n">
        <x:f>COUNTIF($A2:$F2,E2)</x:f>
        <x:v>1</x:v>
      </x:c>
      <x:c r="L2" s="2" t="n">
        <x:f>COUNTIF($A2:$F2,F2)</x:f>
        <x:v>1</x:v>
      </x:c>
      <x:c r="M2" s="2" t="b">
        <x:f>AND(COUNTIF(G2:L2,2)=2,COUNTIF(G2:L2,1)=4)</x:f>
        <x:v>1</x:v>
      </x:c>
      <x:c r="N2" s="2" t="n">
        <x:f>SUMIF(G2:L2,"&gt;1",A2:F2)</x:f>
        <x:v>14</x:v>
      </x:c>
      <x:c r="O2" s="2" t="n">
        <x:f>SUMIF(G2:L2,1,A2:F2)</x:f>
        <x:v>10</x:v>
      </x:c>
      <x:c r="P2" s="2" t="b">
        <x:f>2*N2&gt;O2</x:f>
        <x:v>1</x:v>
      </x:c>
      <x:c r="Q2" s="2" t="n">
        <x:f>IF(AND(M2,P2),1,0)</x:f>
        <x:v>1</x:v>
      </x:c>
    </x:row>
    <x:row r="3" ht="25" customHeight="1">
      <x:c r="A3" s="2" t="n">
        <x:f>'Практика'!A3</x:f>
        <x:v>1</x:v>
      </x:c>
      <x:c r="B3" s="2" t="n">
        <x:f>'Практика'!B3</x:f>
        <x:v>1</x:v>
      </x:c>
      <x:c r="C3" s="2" t="n">
        <x:f>'Практика'!C3</x:f>
        <x:v>3</x:v>
      </x:c>
      <x:c r="D3" s="2" t="n">
        <x:f>'Практика'!D3</x:f>
        <x:v>4</x:v>
      </x:c>
      <x:c r="E3" s="2" t="n">
        <x:f>'Практика'!E3</x:f>
        <x:v>5</x:v>
      </x:c>
      <x:c r="F3" s="2" t="n">
        <x:f>'Практика'!F3</x:f>
        <x:v>6</x:v>
      </x:c>
      <x:c r="G3" s="2" t="n">
        <x:f>COUNTIF($A3:$F3,A3)</x:f>
        <x:v>2</x:v>
      </x:c>
      <x:c r="H3" s="2" t="n">
        <x:f>COUNTIF($A3:$F3,B3)</x:f>
        <x:v>2</x:v>
      </x:c>
      <x:c r="I3" s="2" t="n">
        <x:f>COUNTIF($A3:$F3,C3)</x:f>
        <x:v>1</x:v>
      </x:c>
      <x:c r="J3" s="2" t="n">
        <x:f>COUNTIF($A3:$F3,D3)</x:f>
        <x:v>1</x:v>
      </x:c>
      <x:c r="K3" s="2" t="n">
        <x:f>COUNTIF($A3:$F3,E3)</x:f>
        <x:v>1</x:v>
      </x:c>
      <x:c r="L3" s="2" t="n">
        <x:f>COUNTIF($A3:$F3,F3)</x:f>
        <x:v>1</x:v>
      </x:c>
      <x:c r="M3" s="2" t="b">
        <x:f>AND(COUNTIF(G3:L3,2)=2,COUNTIF(G3:L3,1)=4)</x:f>
        <x:v>1</x:v>
      </x:c>
      <x:c r="N3" s="2" t="n">
        <x:f>SUMIF(G3:L3,"&gt;1",A3:F3)</x:f>
        <x:v>2</x:v>
      </x:c>
      <x:c r="O3" s="2" t="n">
        <x:f>SUMIF(G3:L3,1,A3:F3)</x:f>
        <x:v>18</x:v>
      </x:c>
      <x:c r="P3" s="2" t="b">
        <x:f>2*N3&gt;O3</x:f>
        <x:v>0</x:v>
      </x:c>
      <x:c r="Q3" s="2" t="n">
        <x:f>IF(AND(M3,P3),1,0)</x:f>
        <x:v>0</x:v>
      </x:c>
    </x:row>
    <x:row r="4" ht="25" customHeight="1">
      <x:c r="A4" s="2" t="n">
        <x:f>'Практика'!A4</x:f>
        <x:v>3</x:v>
      </x:c>
      <x:c r="B4" s="2" t="n">
        <x:f>'Практика'!B4</x:f>
        <x:v>3</x:v>
      </x:c>
      <x:c r="C4" s="2" t="n">
        <x:f>'Практика'!C4</x:f>
        <x:v>1</x:v>
      </x:c>
      <x:c r="D4" s="2" t="n">
        <x:f>'Практика'!D4</x:f>
        <x:v>2</x:v>
      </x:c>
      <x:c r="E4" s="2" t="n">
        <x:f>'Практика'!E4</x:f>
        <x:v>4</x:v>
      </x:c>
      <x:c r="F4" s="2" t="n">
        <x:f>'Практика'!F4</x:f>
        <x:v>5</x:v>
      </x:c>
      <x:c r="G4" s="2" t="n">
        <x:f>COUNTIF($A4:$F4,A4)</x:f>
        <x:v>2</x:v>
      </x:c>
      <x:c r="H4" s="2" t="n">
        <x:f>COUNTIF($A4:$F4,B4)</x:f>
        <x:v>2</x:v>
      </x:c>
      <x:c r="I4" s="2" t="n">
        <x:f>COUNTIF($A4:$F4,C4)</x:f>
        <x:v>1</x:v>
      </x:c>
      <x:c r="J4" s="2" t="n">
        <x:f>COUNTIF($A4:$F4,D4)</x:f>
        <x:v>1</x:v>
      </x:c>
      <x:c r="K4" s="2" t="n">
        <x:f>COUNTIF($A4:$F4,E4)</x:f>
        <x:v>1</x:v>
      </x:c>
      <x:c r="L4" s="2" t="n">
        <x:f>COUNTIF($A4:$F4,F4)</x:f>
        <x:v>1</x:v>
      </x:c>
      <x:c r="M4" s="2" t="b">
        <x:f>AND(COUNTIF(G4:L4,2)=2,COUNTIF(G4:L4,1)=4)</x:f>
        <x:v>1</x:v>
      </x:c>
      <x:c r="N4" s="2" t="n">
        <x:f>SUMIF(G4:L4,"&gt;1",A4:F4)</x:f>
        <x:v>6</x:v>
      </x:c>
      <x:c r="O4" s="2" t="n">
        <x:f>SUMIF(G4:L4,1,A4:F4)</x:f>
        <x:v>12</x:v>
      </x:c>
      <x:c r="P4" s="2" t="b">
        <x:f>2*N4&gt;O4</x:f>
        <x:v>0</x:v>
      </x:c>
      <x:c r="Q4" s="2" t="n">
        <x:f>IF(AND(M4,P4),1,0)</x:f>
        <x:v>0</x:v>
      </x:c>
    </x:row>
    <x:row r="5" ht="25" customHeight="1">
      <x:c r="A5" s="2" t="n">
        <x:f>'Практика'!A5</x:f>
        <x:v>5</x:v>
      </x:c>
      <x:c r="B5" s="2" t="n">
        <x:f>'Практика'!B5</x:f>
        <x:v>5</x:v>
      </x:c>
      <x:c r="C5" s="2" t="n">
        <x:f>'Практика'!C5</x:f>
        <x:v>1</x:v>
      </x:c>
      <x:c r="D5" s="2" t="n">
        <x:f>'Практика'!D5</x:f>
        <x:v>3</x:v>
      </x:c>
      <x:c r="E5" s="2" t="n">
        <x:f>'Практика'!E5</x:f>
        <x:v>4</x:v>
      </x:c>
      <x:c r="F5" s="2" t="n">
        <x:f>'Практика'!F5</x:f>
        <x:v>6</x:v>
      </x:c>
      <x:c r="G5" s="2" t="n">
        <x:f>COUNTIF($A5:$F5,A5)</x:f>
        <x:v>2</x:v>
      </x:c>
      <x:c r="H5" s="2" t="n">
        <x:f>COUNTIF($A5:$F5,B5)</x:f>
        <x:v>2</x:v>
      </x:c>
      <x:c r="I5" s="2" t="n">
        <x:f>COUNTIF($A5:$F5,C5)</x:f>
        <x:v>1</x:v>
      </x:c>
      <x:c r="J5" s="2" t="n">
        <x:f>COUNTIF($A5:$F5,D5)</x:f>
        <x:v>1</x:v>
      </x:c>
      <x:c r="K5" s="2" t="n">
        <x:f>COUNTIF($A5:$F5,E5)</x:f>
        <x:v>1</x:v>
      </x:c>
      <x:c r="L5" s="2" t="n">
        <x:f>COUNTIF($A5:$F5,F5)</x:f>
        <x:v>1</x:v>
      </x:c>
      <x:c r="M5" s="2" t="b">
        <x:f>AND(COUNTIF(G5:L5,2)=2,COUNTIF(G5:L5,1)=4)</x:f>
        <x:v>1</x:v>
      </x:c>
      <x:c r="N5" s="2" t="n">
        <x:f>SUMIF(G5:L5,"&gt;1",A5:F5)</x:f>
        <x:v>10</x:v>
      </x:c>
      <x:c r="O5" s="2" t="n">
        <x:f>SUMIF(G5:L5,1,A5:F5)</x:f>
        <x:v>14</x:v>
      </x:c>
      <x:c r="P5" s="2" t="b">
        <x:f>2*N5&gt;O5</x:f>
        <x:v>1</x:v>
      </x:c>
      <x:c r="Q5" s="2" t="n">
        <x:f>IF(AND(M5,P5),1,0)</x:f>
        <x:v>1</x:v>
      </x:c>
    </x:row>
    <x:row r="6" ht="25" customHeight="1">
      <x:c r="A6" s="2" t="n">
        <x:f>'Практика'!A6</x:f>
        <x:v>2</x:v>
      </x:c>
      <x:c r="B6" s="2" t="n">
        <x:f>'Практика'!B6</x:f>
        <x:v>2</x:v>
      </x:c>
      <x:c r="C6" s="2" t="n">
        <x:f>'Практика'!C6</x:f>
        <x:v>4</x:v>
      </x:c>
      <x:c r="D6" s="2" t="n">
        <x:f>'Практика'!D6</x:f>
        <x:v>4</x:v>
      </x:c>
      <x:c r="E6" s="2" t="n">
        <x:f>'Практика'!E6</x:f>
        <x:v>1</x:v>
      </x:c>
      <x:c r="F6" s="2" t="n">
        <x:f>'Практика'!F6</x:f>
        <x:v>8</x:v>
      </x:c>
      <x:c r="G6" s="2" t="n">
        <x:f>COUNTIF($A6:$F6,A6)</x:f>
        <x:v>2</x:v>
      </x:c>
      <x:c r="H6" s="2" t="n">
        <x:f>COUNTIF($A6:$F6,B6)</x:f>
        <x:v>2</x:v>
      </x:c>
      <x:c r="I6" s="2" t="n">
        <x:f>COUNTIF($A6:$F6,C6)</x:f>
        <x:v>2</x:v>
      </x:c>
      <x:c r="J6" s="2" t="n">
        <x:f>COUNTIF($A6:$F6,D6)</x:f>
        <x:v>2</x:v>
      </x:c>
      <x:c r="K6" s="2" t="n">
        <x:f>COUNTIF($A6:$F6,E6)</x:f>
        <x:v>1</x:v>
      </x:c>
      <x:c r="L6" s="2" t="n">
        <x:f>COUNTIF($A6:$F6,F6)</x:f>
        <x:v>1</x:v>
      </x:c>
      <x:c r="M6" s="2" t="b">
        <x:f>AND(COUNTIF(G6:L6,2)=2,COUNTIF(G6:L6,1)=4)</x:f>
        <x:v>0</x:v>
      </x:c>
      <x:c r="N6" s="2" t="n">
        <x:f>SUMIF(G6:L6,"&gt;1",A6:F6)</x:f>
        <x:v>12</x:v>
      </x:c>
      <x:c r="O6" s="2" t="n">
        <x:f>SUMIF(G6:L6,1,A6:F6)</x:f>
        <x:v>9</x:v>
      </x:c>
      <x:c r="P6" s="2" t="b">
        <x:f>2*N6&gt;O6</x:f>
        <x:v>1</x:v>
      </x:c>
      <x:c r="Q6" s="2" t="n">
        <x:f>IF(AND(M6,P6),1,0)</x:f>
        <x:v>0</x:v>
      </x:c>
    </x:row>
    <x:row r="7" ht="25" customHeight="1">
      <x:c r="A7" s="2" t="n">
        <x:f>'Практика'!A7</x:f>
        <x:v>1</x:v>
      </x:c>
      <x:c r="B7" s="2" t="n">
        <x:f>'Практика'!B7</x:f>
        <x:v>2</x:v>
      </x:c>
      <x:c r="C7" s="2" t="n">
        <x:f>'Практика'!C7</x:f>
        <x:v>3</x:v>
      </x:c>
      <x:c r="D7" s="2" t="n">
        <x:f>'Практика'!D7</x:f>
        <x:v>4</x:v>
      </x:c>
      <x:c r="E7" s="2" t="n">
        <x:f>'Практика'!E7</x:f>
        <x:v>5</x:v>
      </x:c>
      <x:c r="F7" s="2" t="n">
        <x:f>'Практика'!F7</x:f>
        <x:v>6</x:v>
      </x:c>
      <x:c r="G7" s="2" t="n">
        <x:f>COUNTIF($A7:$F7,A7)</x:f>
        <x:v>1</x:v>
      </x:c>
      <x:c r="H7" s="2" t="n">
        <x:f>COUNTIF($A7:$F7,B7)</x:f>
        <x:v>1</x:v>
      </x:c>
      <x:c r="I7" s="2" t="n">
        <x:f>COUNTIF($A7:$F7,C7)</x:f>
        <x:v>1</x:v>
      </x:c>
      <x:c r="J7" s="2" t="n">
        <x:f>COUNTIF($A7:$F7,D7)</x:f>
        <x:v>1</x:v>
      </x:c>
      <x:c r="K7" s="2" t="n">
        <x:f>COUNTIF($A7:$F7,E7)</x:f>
        <x:v>1</x:v>
      </x:c>
      <x:c r="L7" s="2" t="n">
        <x:f>COUNTIF($A7:$F7,F7)</x:f>
        <x:v>1</x:v>
      </x:c>
      <x:c r="M7" s="2" t="b">
        <x:f>AND(COUNTIF(G7:L7,2)=2,COUNTIF(G7:L7,1)=4)</x:f>
        <x:v>0</x:v>
      </x:c>
      <x:c r="N7" s="2" t="n">
        <x:f>SUMIF(G7:L7,"&gt;1",A7:F7)</x:f>
        <x:v>0</x:v>
      </x:c>
      <x:c r="O7" s="2" t="n">
        <x:f>SUMIF(G7:L7,1,A7:F7)</x:f>
        <x:v>21</x:v>
      </x:c>
      <x:c r="P7" s="2" t="b">
        <x:f>2*N7&gt;O7</x:f>
        <x:v>0</x:v>
      </x:c>
      <x:c r="Q7" s="2" t="n">
        <x:f>IF(AND(M7,P7),1,0)</x:f>
        <x:v>0</x:v>
      </x:c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4" t="str">
        <x:v>Упражнение 21</x:v>
      </x:c>
      <x:c r="O9" s="2"/>
      <x:c r="P9" s="2"/>
      <x:c r="Q9" s="2" t="n">
        <x:f>SUM(Q2:Q7)</x:f>
        <x:v>2</x:v>
      </x:c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4" t="str">
        <x:v>Поле</x:v>
      </x:c>
      <x:c r="B12" s="2"/>
      <x:c r="C12" s="2"/>
      <x:c r="D12" s="2"/>
      <x:c r="E12" s="4" t="str">
        <x:v>Максимум</x:v>
      </x:c>
      <x:c r="F12" s="2"/>
      <x:c r="G12" s="2"/>
      <x:c r="H12" s="2"/>
      <x:c r="I12" s="4" t="str">
        <x:v>Минимум</x:v>
      </x:c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17" t="n">
        <x:f>'Практика'!A13</x:f>
        <x:v>2</x:v>
      </x:c>
      <x:c r="B13" s="17" t="n">
        <x:f>'Практика'!B13</x:f>
        <x:v>1</x:v>
      </x:c>
      <x:c r="C13" s="17" t="n">
        <x:f>'Практика'!C13</x:f>
        <x:v>4</x:v>
      </x:c>
      <x:c r="D13" s="2"/>
      <x:c r="E13" s="17" t="n">
        <x:f>A13</x:f>
        <x:v>2</x:v>
      </x:c>
      <x:c r="F13" s="17" t="n">
        <x:f>E13+B13</x:f>
        <x:v>3</x:v>
      </x:c>
      <x:c r="G13" s="17" t="n">
        <x:f>F13+C13</x:f>
        <x:v>7</x:v>
      </x:c>
      <x:c r="H13" s="2"/>
      <x:c r="I13" s="17" t="n">
        <x:f>A13</x:f>
        <x:v>2</x:v>
      </x:c>
      <x:c r="J13" s="17" t="n">
        <x:f>I13+B13</x:f>
        <x:v>3</x:v>
      </x:c>
      <x:c r="K13" s="17" t="n">
        <x:f>J13+C13</x:f>
        <x:v>7</x:v>
      </x:c>
      <x:c r="L13" s="2"/>
      <x:c r="M13" s="2"/>
      <x:c r="N13" s="2"/>
      <x:c r="O13" s="2"/>
      <x:c r="P13" s="2"/>
      <x:c r="Q13" s="2"/>
    </x:row>
    <x:row r="14" ht="25" customHeight="1">
      <x:c r="A14" s="17" t="n">
        <x:f>'Практика'!A14</x:f>
        <x:v>3</x:v>
      </x:c>
      <x:c r="B14" s="17" t="n">
        <x:f>'Практика'!B14</x:f>
        <x:v>2</x:v>
      </x:c>
      <x:c r="C14" s="17" t="n">
        <x:f>'Практика'!C14</x:f>
        <x:v>1</x:v>
      </x:c>
      <x:c r="D14" s="2"/>
      <x:c r="E14" s="17" t="n">
        <x:f>E13+A14</x:f>
        <x:v>5</x:v>
      </x:c>
      <x:c r="F14" s="17" t="n">
        <x:f>MAX(E14,F13)+B14</x:f>
        <x:v>7</x:v>
      </x:c>
      <x:c r="G14" s="17" t="n">
        <x:f>MAX(F14,G13)+C14</x:f>
        <x:v>8</x:v>
      </x:c>
      <x:c r="H14" s="2"/>
      <x:c r="I14" s="17" t="n">
        <x:f>I13+A14</x:f>
        <x:v>5</x:v>
      </x:c>
      <x:c r="J14" s="17" t="n">
        <x:f>MIN(I14,J13)+B14</x:f>
        <x:v>5</x:v>
      </x:c>
      <x:c r="K14" s="17" t="n">
        <x:f>MIN(J14,K13)+C14</x:f>
        <x:v>6</x:v>
      </x:c>
      <x:c r="L14" s="2"/>
      <x:c r="M14" s="2"/>
      <x:c r="N14" s="2"/>
      <x:c r="O14" s="2"/>
      <x:c r="P14" s="2"/>
      <x:c r="Q14" s="2"/>
    </x:row>
    <x:row r="15" ht="25" customHeight="1">
      <x:c r="A15" s="17" t="n">
        <x:f>'Практика'!A15</x:f>
        <x:v>1</x:v>
      </x:c>
      <x:c r="B15" s="17" t="n">
        <x:f>'Практика'!B15</x:f>
        <x:v>5</x:v>
      </x:c>
      <x:c r="C15" s="17" t="n">
        <x:f>'Практика'!C15</x:f>
        <x:v>2</x:v>
      </x:c>
      <x:c r="D15" s="2"/>
      <x:c r="E15" s="17" t="n">
        <x:f>E14+A15</x:f>
        <x:v>6</x:v>
      </x:c>
      <x:c r="F15" s="17" t="n">
        <x:f>MAX(E15,F14)+B15</x:f>
        <x:v>12</x:v>
      </x:c>
      <x:c r="G15" s="17" t="n">
        <x:f>MAX(F15,G14)+C15</x:f>
        <x:v>14</x:v>
      </x:c>
      <x:c r="H15" s="2"/>
      <x:c r="I15" s="17" t="n">
        <x:f>I14+A15</x:f>
        <x:v>6</x:v>
      </x:c>
      <x:c r="J15" s="17" t="n">
        <x:f>MIN(I15,J14)+B15</x:f>
        <x:v>10</x:v>
      </x:c>
      <x:c r="K15" s="17" t="n">
        <x:f>MIN(J15,K14)+C15</x:f>
        <x:v>8</x:v>
      </x:c>
      <x:c r="L15" s="2"/>
      <x:c r="M15" s="2"/>
      <x:c r="N15" s="2"/>
      <x:c r="O15" s="2"/>
      <x:c r="P15" s="2"/>
      <x:c r="Q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4" t="str">
        <x:v>Упражнение 25. Сравни каждую формулу, а не только последний результат.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42" customHeight="1">
      <x:c r="A19" s="8" t="str">
        <x:v>ID</x:v>
      </x:c>
      <x:c r="B19" s="8" t="str">
        <x:v>Длительность</x:v>
      </x:c>
      <x:c r="C19" s="8" t="str">
        <x:v>Предш. 1</x:v>
      </x:c>
      <x:c r="D19" s="8" t="str">
        <x:v>Предш. 2</x:v>
      </x:c>
      <x:c r="E19" s="8" t="str">
        <x:v>Начало</x:v>
      </x:c>
      <x:c r="F19" s="8" t="str">
        <x:v>Окончание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 t="n">
        <x:f>'Практика'!A20</x:f>
        <x:v>1</x:v>
      </x:c>
      <x:c r="B20" s="2" t="n">
        <x:f>'Практика'!B20</x:f>
        <x:v>5</x:v>
      </x:c>
      <x:c r="C20" s="2" t="n">
        <x:f>'Практика'!C20</x:f>
        <x:v>0</x:v>
      </x:c>
      <x:c r="D20" s="2" t="n">
        <x:f>'Практика'!D20</x:f>
        <x:v>0</x:v>
      </x:c>
      <x:c r="E20" s="2" t="n">
        <x:v>0</x:v>
      </x:c>
      <x:c r="F20" s="2" t="n">
        <x:f>E20+B20</x:f>
        <x:v>5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 t="n">
        <x:f>'Практика'!A21</x:f>
        <x:v>2</x:v>
      </x:c>
      <x:c r="B21" s="2" t="n">
        <x:f>'Практика'!B21</x:f>
        <x:v>2</x:v>
      </x:c>
      <x:c r="C21" s="2" t="n">
        <x:f>'Практика'!C21</x:f>
        <x:v>0</x:v>
      </x:c>
      <x:c r="D21" s="2" t="n">
        <x:f>'Практика'!D21</x:f>
        <x:v>0</x:v>
      </x:c>
      <x:c r="E21" s="2" t="n">
        <x:v>0</x:v>
      </x:c>
      <x:c r="F21" s="2" t="n">
        <x:f>E21+B21</x:f>
        <x:v>2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 t="n">
        <x:f>'Практика'!A22</x:f>
        <x:v>3</x:v>
      </x:c>
      <x:c r="B22" s="2" t="n">
        <x:f>'Практика'!B22</x:f>
        <x:v>4</x:v>
      </x:c>
      <x:c r="C22" s="2" t="n">
        <x:f>'Практика'!C22</x:f>
        <x:v>1</x:v>
      </x:c>
      <x:c r="D22" s="2" t="n">
        <x:f>'Практика'!D22</x:f>
        <x:v>2</x:v>
      </x:c>
      <x:c r="E22" s="2" t="n">
        <x:f>MAX(F20,F21)</x:f>
        <x:v>5</x:v>
      </x:c>
      <x:c r="F22" s="2" t="n">
        <x:f>E22+B22</x:f>
        <x:v>9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2" t="n">
        <x:f>'Практика'!A23</x:f>
        <x:v>4</x:v>
      </x:c>
      <x:c r="B23" s="2" t="n">
        <x:f>'Практика'!B23</x:f>
        <x:v>3</x:v>
      </x:c>
      <x:c r="C23" s="2" t="n">
        <x:f>'Практика'!C23</x:f>
        <x:v>2</x:v>
      </x:c>
      <x:c r="D23" s="2" t="n">
        <x:f>'Практика'!D23</x:f>
        <x:v>0</x:v>
      </x:c>
      <x:c r="E23" s="2" t="n">
        <x:f>F21</x:f>
        <x:v>2</x:v>
      </x:c>
      <x:c r="F23" s="2" t="n">
        <x:f>E23+B23</x:f>
        <x:v>5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2" t="n">
        <x:f>'Практика'!A24</x:f>
        <x:v>5</x:v>
      </x:c>
      <x:c r="B24" s="2" t="n">
        <x:f>'Практика'!B24</x:f>
        <x:v>1</x:v>
      </x:c>
      <x:c r="C24" s="2" t="n">
        <x:f>'Практика'!C24</x:f>
        <x:v>3</x:v>
      </x:c>
      <x:c r="D24" s="2" t="n">
        <x:f>'Практика'!D24</x:f>
        <x:v>4</x:v>
      </x:c>
      <x:c r="E24" s="2" t="n">
        <x:f>MAX(F22,F23)</x:f>
        <x:v>9</x:v>
      </x:c>
      <x:c r="F24" s="2" t="n">
        <x:f>E24+B24</x:f>
        <x:v>10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4" t="str">
        <x:v>Упражнение 27. Общее время</x:v>
      </x:c>
      <x:c r="B26" s="2"/>
      <x:c r="C26" s="2"/>
      <x:c r="D26" s="2"/>
      <x:c r="E26" s="2"/>
      <x:c r="F26" s="2" t="n">
        <x:f>MAX(F20:F24)</x:f>
        <x:v>10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4" t="str">
        <x:v>Начала: 0, 0, 5, 2, 9. Окончания: 5, 2, 9, 5, 10 — для исходных длительностей.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4" t="str">
        <x:v>Упражнение 28: два процесса работают от 0 до 5, всего 5 единиц времени.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conditionalFormatting sqref="Q2:Q7">
    <x:cfRule type="cellIs" dxfId="2" priority="1" operator="equal">
      <x:formula>1</x:formula>
    </x:cfRule>
  </x:conditionalFormatting>
  <x:pageMargins left="0.7" right="0.7" top="0.75" bottom="0.75" header="0.3" footer="0.3"/>
</x:worksheet>
</file>